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CAC 40" sheetId="1" state="visible" r:id="rId1"/>
    <sheet name="Top Actions Halal" sheetId="2" state="visible" r:id="rId2"/>
    <sheet name="Graphiques" sheetId="3" state="visible" r:id="rId3"/>
    <sheet name="Méthodolog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b val="1"/>
      <color rgb="001B2A4A"/>
      <sz val="14"/>
    </font>
    <font>
      <b val="1"/>
      <color rgb="00FFFFFF"/>
      <sz val="10"/>
    </font>
    <font>
      <b val="1"/>
      <color rgb="002E75B6"/>
    </font>
    <font>
      <b val="1"/>
      <color rgb="00C0392B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75B6"/>
      </patternFill>
    </fill>
    <fill>
      <patternFill patternType="solid">
        <fgColor rgb="00E2F0E8"/>
      </patternFill>
    </fill>
    <fill>
      <patternFill patternType="solid">
        <fgColor rgb="00FFF9C4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2D8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" fillId="8" borderId="0" pivotButton="0" quotePrefix="0" xfId="0"/>
    <xf numFmtId="0" fontId="0" fillId="8" borderId="0" pivotButton="0" quotePrefix="0" xfId="0"/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Sharia du CAC 40</a:t>
            </a:r>
          </a:p>
        </rich>
      </tx>
    </title>
    <plotArea>
      <pieChart>
        <varyColors val="1"/>
        <ser>
          <idx val="0"/>
          <order val="0"/>
          <tx>
            <strRef>
              <f>'Graphiques'!B1</f>
            </strRef>
          </tx>
          <spPr>
            <a:ln>
              <a:prstDash val="solid"/>
            </a:ln>
          </spPr>
          <cat>
            <numRef>
              <f>'Graphiques'!$A$2:$A$4</f>
            </numRef>
          </cat>
          <val>
            <numRef>
              <f>'Graphiques'!$B$2:$B$4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Sharia — Actions Conformes du CAC 40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'Graphiques'!B7</f>
            </strRef>
          </tx>
          <spPr>
            <a:ln>
              <a:prstDash val="solid"/>
            </a:ln>
          </spPr>
          <cat>
            <numRef>
              <f>'Graphiques'!$A$8:$A$24</f>
            </numRef>
          </cat>
          <val>
            <numRef>
              <f>'Graphiques'!$B$8:$B$24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2" customWidth="1" min="4" max="4"/>
    <col width="4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4" customWidth="1" min="11" max="11"/>
    <col width="8" customWidth="1" min="12" max="12"/>
    <col width="12" customWidth="1" min="13" max="13"/>
    <col width="12" customWidth="1" min="14" max="14"/>
    <col width="14" customWidth="1" min="15" max="15"/>
    <col width="12" customWidth="1" min="16" max="16"/>
    <col width="14" customWidth="1" min="17" max="17"/>
    <col width="20" customWidth="1" min="18" max="18"/>
    <col width="25" customWidth="1" min="19" max="19"/>
    <col width="40" customWidth="1" min="20" max="20"/>
  </cols>
  <sheetData>
    <row r="1">
      <c r="A1" s="1" t="inlineStr">
        <is>
          <t>HALAL QUANT — SCREENING SHARIA CAC 40 (Norme AAOIFI)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Ticker</t>
        </is>
      </c>
      <c r="B2" s="3" t="inlineStr">
        <is>
          <t>Nom</t>
        </is>
      </c>
      <c r="C2" s="3" t="inlineStr">
        <is>
          <t>Statut</t>
        </is>
      </c>
      <c r="D2" s="3" t="inlineStr">
        <is>
          <t>Score Sharia</t>
        </is>
      </c>
      <c r="E2" s="3" t="inlineStr">
        <is>
          <t>Raison</t>
        </is>
      </c>
      <c r="F2" s="3" t="inlineStr">
        <is>
          <t>Prix (€)</t>
        </is>
      </c>
      <c r="G2" s="3" t="inlineStr">
        <is>
          <t>PER</t>
        </is>
      </c>
      <c r="H2" s="3" t="inlineStr">
        <is>
          <t>Dividende (%)</t>
        </is>
      </c>
      <c r="I2" s="3" t="inlineStr">
        <is>
          <t>ROE (%)</t>
        </is>
      </c>
      <c r="J2" s="3" t="inlineStr">
        <is>
          <t>Marge nette (%)</t>
        </is>
      </c>
      <c r="K2" s="3" t="inlineStr">
        <is>
          <t>Croissance CA (%)</t>
        </is>
      </c>
      <c r="L2" s="3" t="inlineStr">
        <is>
          <t>Beta</t>
        </is>
      </c>
      <c r="M2" s="3" t="inlineStr">
        <is>
          <t>Dette/Cap (%)</t>
        </is>
      </c>
      <c r="N2" s="3" t="inlineStr">
        <is>
          <t>Cash/Cap (%)</t>
        </is>
      </c>
      <c r="O2" s="3" t="inlineStr">
        <is>
          <t>Créances/Cap (%)</t>
        </is>
      </c>
      <c r="P2" s="3" t="inlineStr">
        <is>
          <t>Rev. haram (%)</t>
        </is>
      </c>
      <c r="Q2" s="3" t="inlineStr">
        <is>
          <t>Purification (%)</t>
        </is>
      </c>
      <c r="R2" s="3" t="inlineStr">
        <is>
          <t>Secteur</t>
        </is>
      </c>
      <c r="S2" s="3" t="inlineStr">
        <is>
          <t>Industrie</t>
        </is>
      </c>
      <c r="T2" s="3" t="inlineStr">
        <is>
          <t>Attention</t>
        </is>
      </c>
    </row>
    <row r="3">
      <c r="A3" s="4" t="inlineStr">
        <is>
          <t>CAP.PA</t>
        </is>
      </c>
      <c r="B3" s="4" t="inlineStr">
        <is>
          <t>Capgemini</t>
        </is>
      </c>
      <c r="C3" s="4" t="inlineStr">
        <is>
          <t>CONFORME</t>
        </is>
      </c>
      <c r="D3" s="4" t="n">
        <v>100</v>
      </c>
      <c r="E3" s="4" t="inlineStr">
        <is>
          <t>Tous les critères AAOIFI respectés</t>
        </is>
      </c>
      <c r="F3" s="4" t="n">
        <v>107.8</v>
      </c>
      <c r="G3" s="4" t="n">
        <v>11.8</v>
      </c>
      <c r="H3" s="4" t="n">
        <v>316</v>
      </c>
      <c r="I3" s="4" t="n">
        <v>0</v>
      </c>
      <c r="J3" s="4" t="n">
        <v>7.1</v>
      </c>
      <c r="K3" s="4" t="n">
        <v>3.7</v>
      </c>
      <c r="L3" s="4" t="n">
        <v>0.67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inlineStr">
        <is>
          <t>Technology</t>
        </is>
      </c>
      <c r="S3" s="4" t="inlineStr">
        <is>
          <t>Information Technology Services</t>
        </is>
      </c>
      <c r="T3" s="4" t="inlineStr"/>
    </row>
    <row r="4">
      <c r="A4" s="4" t="inlineStr">
        <is>
          <t>ML.PA</t>
        </is>
      </c>
      <c r="B4" s="4" t="inlineStr">
        <is>
          <t>Michelin</t>
        </is>
      </c>
      <c r="C4" s="4" t="inlineStr">
        <is>
          <t>CONFORME</t>
        </is>
      </c>
      <c r="D4" s="4" t="n">
        <v>100</v>
      </c>
      <c r="E4" s="4" t="inlineStr">
        <is>
          <t>Tous les critères AAOIFI respectés</t>
        </is>
      </c>
      <c r="F4" s="4" t="n">
        <v>29.66</v>
      </c>
      <c r="G4" s="4" t="n">
        <v>2.9</v>
      </c>
      <c r="H4" s="4" t="n">
        <v>0</v>
      </c>
      <c r="I4" s="4" t="n">
        <v>0</v>
      </c>
      <c r="J4" s="4" t="n">
        <v>0</v>
      </c>
      <c r="K4" s="4" t="n">
        <v>0</v>
      </c>
      <c r="L4" s="4" t="inlineStr">
        <is>
          <t>N/A</t>
        </is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Inconnu</t>
        </is>
      </c>
      <c r="S4" s="4" t="inlineStr">
        <is>
          <t>Inconnu</t>
        </is>
      </c>
      <c r="T4" s="4" t="inlineStr"/>
    </row>
    <row r="5">
      <c r="A5" s="4" t="inlineStr">
        <is>
          <t>URW.AS</t>
        </is>
      </c>
      <c r="B5" s="4" t="inlineStr">
        <is>
          <t>Unibail-Rodamco</t>
        </is>
      </c>
      <c r="C5" s="4" t="inlineStr">
        <is>
          <t>CONFORME</t>
        </is>
      </c>
      <c r="D5" s="4" t="n">
        <v>100</v>
      </c>
      <c r="E5" s="4" t="inlineStr">
        <is>
          <t>Tous les critères AAOIFI respectés</t>
        </is>
      </c>
      <c r="F5" s="4" t="n">
        <v>0</v>
      </c>
      <c r="G5" s="4" t="inlineStr">
        <is>
          <t>N/A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inlineStr">
        <is>
          <t>N/A</t>
        </is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inlineStr">
        <is>
          <t>Inconnu</t>
        </is>
      </c>
      <c r="S5" s="4" t="inlineStr">
        <is>
          <t>Inconnu</t>
        </is>
      </c>
      <c r="T5" s="4" t="inlineStr"/>
    </row>
    <row r="6">
      <c r="A6" s="4" t="inlineStr">
        <is>
          <t>RMS.PA</t>
        </is>
      </c>
      <c r="B6" s="4" t="inlineStr">
        <is>
          <t>Hermès</t>
        </is>
      </c>
      <c r="C6" s="4" t="inlineStr">
        <is>
          <t>CONFORME</t>
        </is>
      </c>
      <c r="D6" s="4" t="n">
        <v>94</v>
      </c>
      <c r="E6" s="4" t="inlineStr">
        <is>
          <t>Tous les critères AAOIFI respectés</t>
        </is>
      </c>
      <c r="F6" s="4" t="n">
        <v>1873</v>
      </c>
      <c r="G6" s="4" t="n">
        <v>43.4</v>
      </c>
      <c r="H6" s="4" t="n">
        <v>95</v>
      </c>
      <c r="I6" s="4" t="n">
        <v>25.2</v>
      </c>
      <c r="J6" s="4" t="n">
        <v>28.3</v>
      </c>
      <c r="K6" s="4" t="n">
        <v>3.9</v>
      </c>
      <c r="L6" s="4" t="n">
        <v>0.9399999999999999</v>
      </c>
      <c r="M6" s="4" t="n">
        <v>1.2</v>
      </c>
      <c r="N6" s="4" t="n">
        <v>6.2</v>
      </c>
      <c r="O6" s="4" t="n">
        <v>0</v>
      </c>
      <c r="P6" s="4" t="n">
        <v>0</v>
      </c>
      <c r="Q6" s="4" t="n">
        <v>0</v>
      </c>
      <c r="R6" s="4" t="inlineStr">
        <is>
          <t>Consumer Cyclical</t>
        </is>
      </c>
      <c r="S6" s="4" t="inlineStr">
        <is>
          <t>Luxury Goods</t>
        </is>
      </c>
      <c r="T6" s="4" t="inlineStr"/>
    </row>
    <row r="7">
      <c r="A7" s="4" t="inlineStr">
        <is>
          <t>OR.PA</t>
        </is>
      </c>
      <c r="B7" s="4" t="inlineStr">
        <is>
          <t>L'Oréal</t>
        </is>
      </c>
      <c r="C7" s="4" t="inlineStr">
        <is>
          <t>CONFORME</t>
        </is>
      </c>
      <c r="D7" s="4" t="n">
        <v>91</v>
      </c>
      <c r="E7" s="4" t="inlineStr">
        <is>
          <t>Tous les critères AAOIFI respectés</t>
        </is>
      </c>
      <c r="F7" s="4" t="n">
        <v>353.65</v>
      </c>
      <c r="G7" s="4" t="n">
        <v>31</v>
      </c>
      <c r="H7" s="4" t="n">
        <v>200</v>
      </c>
      <c r="I7" s="4" t="n">
        <v>18</v>
      </c>
      <c r="J7" s="4" t="n">
        <v>13.9</v>
      </c>
      <c r="K7" s="4" t="n">
        <v>1</v>
      </c>
      <c r="L7" s="4" t="n">
        <v>0.88</v>
      </c>
      <c r="M7" s="4" t="n">
        <v>6.3</v>
      </c>
      <c r="N7" s="4" t="n">
        <v>5.2</v>
      </c>
      <c r="O7" s="4" t="n">
        <v>0</v>
      </c>
      <c r="P7" s="4" t="n">
        <v>0</v>
      </c>
      <c r="Q7" s="4" t="n">
        <v>0</v>
      </c>
      <c r="R7" s="4" t="inlineStr">
        <is>
          <t>Consumer Defensive</t>
        </is>
      </c>
      <c r="S7" s="4" t="inlineStr">
        <is>
          <t>Household &amp; Personal Products</t>
        </is>
      </c>
      <c r="T7" s="4" t="inlineStr"/>
    </row>
    <row r="8">
      <c r="A8" s="4" t="inlineStr">
        <is>
          <t>AI.PA</t>
        </is>
      </c>
      <c r="B8" s="4" t="inlineStr">
        <is>
          <t>Air Liquide</t>
        </is>
      </c>
      <c r="C8" s="4" t="inlineStr">
        <is>
          <t>CONFORME</t>
        </is>
      </c>
      <c r="D8" s="4" t="n">
        <v>87</v>
      </c>
      <c r="E8" s="4" t="inlineStr">
        <is>
          <t>Tous les critères AAOIFI respectés</t>
        </is>
      </c>
      <c r="F8" s="4" t="n">
        <v>170.88</v>
      </c>
      <c r="G8" s="4" t="n">
        <v>28</v>
      </c>
      <c r="H8" s="4" t="n">
        <v>217</v>
      </c>
      <c r="I8" s="4" t="n">
        <v>13.4</v>
      </c>
      <c r="J8" s="4" t="n">
        <v>13.1</v>
      </c>
      <c r="K8" s="4" t="n">
        <v>-3.4</v>
      </c>
      <c r="L8" s="4" t="n">
        <v>0.72</v>
      </c>
      <c r="M8" s="4" t="n">
        <v>13.8</v>
      </c>
      <c r="N8" s="4" t="n">
        <v>4</v>
      </c>
      <c r="O8" s="4" t="n">
        <v>0</v>
      </c>
      <c r="P8" s="4" t="n">
        <v>0</v>
      </c>
      <c r="Q8" s="4" t="n">
        <v>0</v>
      </c>
      <c r="R8" s="4" t="inlineStr">
        <is>
          <t>Basic Materials</t>
        </is>
      </c>
      <c r="S8" s="4" t="inlineStr">
        <is>
          <t>Specialty Chemicals</t>
        </is>
      </c>
      <c r="T8" s="4" t="inlineStr"/>
    </row>
    <row r="9">
      <c r="A9" s="4" t="inlineStr">
        <is>
          <t>SU.PA</t>
        </is>
      </c>
      <c r="B9" s="4" t="inlineStr">
        <is>
          <t>Schneider Electric</t>
        </is>
      </c>
      <c r="C9" s="4" t="inlineStr">
        <is>
          <t>CONFORME</t>
        </is>
      </c>
      <c r="D9" s="4" t="n">
        <v>87</v>
      </c>
      <c r="E9" s="4" t="inlineStr">
        <is>
          <t>Tous les critères AAOIFI respectés</t>
        </is>
      </c>
      <c r="F9" s="4" t="n">
        <v>248</v>
      </c>
      <c r="G9" s="4" t="n">
        <v>31.1</v>
      </c>
      <c r="H9" s="4" t="n">
        <v>165</v>
      </c>
      <c r="I9" s="4" t="n">
        <v>15.6</v>
      </c>
      <c r="J9" s="4" t="n">
        <v>10.4</v>
      </c>
      <c r="K9" s="4" t="n">
        <v>4.2</v>
      </c>
      <c r="L9" s="4" t="n">
        <v>1.03</v>
      </c>
      <c r="M9" s="4" t="n">
        <v>14.3</v>
      </c>
      <c r="N9" s="4" t="n">
        <v>3.3</v>
      </c>
      <c r="O9" s="4" t="n">
        <v>0</v>
      </c>
      <c r="P9" s="4" t="n">
        <v>0</v>
      </c>
      <c r="Q9" s="4" t="n">
        <v>0</v>
      </c>
      <c r="R9" s="4" t="inlineStr">
        <is>
          <t>Industrials</t>
        </is>
      </c>
      <c r="S9" s="4" t="inlineStr">
        <is>
          <t>Specialty Industrial Machinery</t>
        </is>
      </c>
      <c r="T9" s="4" t="inlineStr"/>
    </row>
    <row r="10">
      <c r="A10" s="4" t="inlineStr">
        <is>
          <t>EL.PA</t>
        </is>
      </c>
      <c r="B10" s="4" t="inlineStr">
        <is>
          <t>EssilorLuxottica</t>
        </is>
      </c>
      <c r="C10" s="4" t="inlineStr">
        <is>
          <t>CONFORME</t>
        </is>
      </c>
      <c r="D10" s="4" t="n">
        <v>86</v>
      </c>
      <c r="E10" s="4" t="inlineStr">
        <is>
          <t>Tous les critères AAOIFI respectés</t>
        </is>
      </c>
      <c r="F10" s="4" t="n">
        <v>204.7</v>
      </c>
      <c r="G10" s="4" t="n">
        <v>41.2</v>
      </c>
      <c r="H10" s="4" t="n">
        <v>190</v>
      </c>
      <c r="I10" s="4" t="n">
        <v>6.1</v>
      </c>
      <c r="J10" s="4" t="n">
        <v>8.1</v>
      </c>
      <c r="K10" s="4" t="n">
        <v>9.4</v>
      </c>
      <c r="L10" s="4" t="n">
        <v>0.55</v>
      </c>
      <c r="M10" s="4" t="n">
        <v>15.2</v>
      </c>
      <c r="N10" s="4" t="n">
        <v>3.7</v>
      </c>
      <c r="O10" s="4" t="n">
        <v>0</v>
      </c>
      <c r="P10" s="4" t="n">
        <v>0</v>
      </c>
      <c r="Q10" s="4" t="n">
        <v>0</v>
      </c>
      <c r="R10" s="4" t="inlineStr">
        <is>
          <t>Healthcare</t>
        </is>
      </c>
      <c r="S10" s="4" t="inlineStr">
        <is>
          <t>Medical Instruments &amp; Supplies</t>
        </is>
      </c>
      <c r="T10" s="4" t="inlineStr"/>
    </row>
    <row r="11">
      <c r="A11" s="5" t="inlineStr">
        <is>
          <t>SAF.PA</t>
        </is>
      </c>
      <c r="B11" s="5" t="inlineStr">
        <is>
          <t>Safran</t>
        </is>
      </c>
      <c r="C11" s="5" t="inlineStr">
        <is>
          <t>CONFORME ⚠️</t>
        </is>
      </c>
      <c r="D11" s="5" t="n">
        <v>83</v>
      </c>
      <c r="E11" s="5" t="inlineStr">
        <is>
          <t>Tous les critères AAOIFI respectés</t>
        </is>
      </c>
      <c r="F11" s="5" t="n">
        <v>304.4</v>
      </c>
      <c r="G11" s="5" t="n">
        <v>17.7</v>
      </c>
      <c r="H11" s="5" t="n">
        <v>109</v>
      </c>
      <c r="I11" s="5" t="n">
        <v>55.6</v>
      </c>
      <c r="J11" s="5" t="n">
        <v>23</v>
      </c>
      <c r="K11" s="5" t="n">
        <v>12.5</v>
      </c>
      <c r="L11" s="5" t="n">
        <v>0.92</v>
      </c>
      <c r="M11" s="5" t="n">
        <v>4.2</v>
      </c>
      <c r="N11" s="5" t="n">
        <v>5.4</v>
      </c>
      <c r="O11" s="5" t="n">
        <v>0</v>
      </c>
      <c r="P11" s="5" t="n">
        <v>0</v>
      </c>
      <c r="Q11" s="5" t="n">
        <v>0</v>
      </c>
      <c r="R11" s="5" t="inlineStr">
        <is>
          <t>Industrials</t>
        </is>
      </c>
      <c r="S11" s="5" t="inlineStr">
        <is>
          <t>Aerospace &amp; Defense</t>
        </is>
      </c>
      <c r="T11" s="5" t="inlineStr">
        <is>
          <t>Vérifier si &gt; 5% du CA vient de l'armement offensif</t>
        </is>
      </c>
    </row>
    <row r="12">
      <c r="A12" s="4" t="inlineStr">
        <is>
          <t>LR.PA</t>
        </is>
      </c>
      <c r="B12" s="4" t="inlineStr">
        <is>
          <t>Legrand</t>
        </is>
      </c>
      <c r="C12" s="4" t="inlineStr">
        <is>
          <t>CONFORME</t>
        </is>
      </c>
      <c r="D12" s="4" t="n">
        <v>81</v>
      </c>
      <c r="E12" s="4" t="inlineStr">
        <is>
          <t>Tous les critères AAOIFI respectés</t>
        </is>
      </c>
      <c r="F12" s="4" t="n">
        <v>136.85</v>
      </c>
      <c r="G12" s="4" t="n">
        <v>29.1</v>
      </c>
      <c r="H12" s="4" t="n">
        <v>172</v>
      </c>
      <c r="I12" s="4" t="n">
        <v>16.8</v>
      </c>
      <c r="J12" s="4" t="n">
        <v>13.1</v>
      </c>
      <c r="K12" s="4" t="n">
        <v>3.7</v>
      </c>
      <c r="L12" s="4" t="n">
        <v>0.91</v>
      </c>
      <c r="M12" s="4" t="n">
        <v>18.4</v>
      </c>
      <c r="N12" s="4" t="n">
        <v>6.7</v>
      </c>
      <c r="O12" s="4" t="n">
        <v>0</v>
      </c>
      <c r="P12" s="4" t="n">
        <v>0</v>
      </c>
      <c r="Q12" s="4" t="n">
        <v>0</v>
      </c>
      <c r="R12" s="4" t="inlineStr">
        <is>
          <t>Industrials</t>
        </is>
      </c>
      <c r="S12" s="4" t="inlineStr">
        <is>
          <t>Electrical Equipment &amp; Parts</t>
        </is>
      </c>
      <c r="T12" s="4" t="inlineStr"/>
    </row>
    <row r="13">
      <c r="A13" s="4" t="inlineStr">
        <is>
          <t>DSY.PA</t>
        </is>
      </c>
      <c r="B13" s="4" t="inlineStr">
        <is>
          <t>Dassault Systèmes</t>
        </is>
      </c>
      <c r="C13" s="4" t="inlineStr">
        <is>
          <t>CONFORME</t>
        </is>
      </c>
      <c r="D13" s="4" t="n">
        <v>79</v>
      </c>
      <c r="E13" s="4" t="inlineStr">
        <is>
          <t>Tous les critères AAOIFI respectés</t>
        </is>
      </c>
      <c r="F13" s="4" t="n">
        <v>18.5</v>
      </c>
      <c r="G13" s="4" t="n">
        <v>20.6</v>
      </c>
      <c r="H13" s="4" t="n">
        <v>142</v>
      </c>
      <c r="I13" s="4" t="n">
        <v>13.3</v>
      </c>
      <c r="J13" s="4" t="n">
        <v>19.2</v>
      </c>
      <c r="K13" s="4" t="n">
        <v>-4.2</v>
      </c>
      <c r="L13" s="4" t="n">
        <v>0.47</v>
      </c>
      <c r="M13" s="4" t="n">
        <v>10.7</v>
      </c>
      <c r="N13" s="4" t="n">
        <v>16.9</v>
      </c>
      <c r="O13" s="4" t="n">
        <v>0</v>
      </c>
      <c r="P13" s="4" t="n">
        <v>0</v>
      </c>
      <c r="Q13" s="4" t="n">
        <v>0</v>
      </c>
      <c r="R13" s="4" t="inlineStr">
        <is>
          <t>Technology</t>
        </is>
      </c>
      <c r="S13" s="4" t="inlineStr">
        <is>
          <t>Software - Application</t>
        </is>
      </c>
      <c r="T13" s="4" t="inlineStr"/>
    </row>
    <row r="14">
      <c r="A14" s="4" t="inlineStr">
        <is>
          <t>STMPA.PA</t>
        </is>
      </c>
      <c r="B14" s="4" t="inlineStr">
        <is>
          <t>STMicroelectronics</t>
        </is>
      </c>
      <c r="C14" s="4" t="inlineStr">
        <is>
          <t>CONFORME</t>
        </is>
      </c>
      <c r="D14" s="4" t="n">
        <v>78</v>
      </c>
      <c r="E14" s="4" t="inlineStr">
        <is>
          <t>Tous les critères AAOIFI respectés</t>
        </is>
      </c>
      <c r="F14" s="4" t="n">
        <v>28.61</v>
      </c>
      <c r="G14" s="4" t="n">
        <v>178.8</v>
      </c>
      <c r="H14" s="4" t="n">
        <v>116</v>
      </c>
      <c r="I14" s="4" t="n">
        <v>1</v>
      </c>
      <c r="J14" s="4" t="n">
        <v>1.4</v>
      </c>
      <c r="K14" s="4" t="n">
        <v>0.2</v>
      </c>
      <c r="L14" s="4" t="n">
        <v>1.37</v>
      </c>
      <c r="M14" s="4" t="n">
        <v>9.300000000000001</v>
      </c>
      <c r="N14" s="4" t="n">
        <v>19.4</v>
      </c>
      <c r="O14" s="4" t="n">
        <v>0</v>
      </c>
      <c r="P14" s="4" t="n">
        <v>0</v>
      </c>
      <c r="Q14" s="4" t="n">
        <v>0</v>
      </c>
      <c r="R14" s="4" t="inlineStr">
        <is>
          <t>Technology</t>
        </is>
      </c>
      <c r="S14" s="4" t="inlineStr">
        <is>
          <t>Semiconductors</t>
        </is>
      </c>
      <c r="T14" s="4" t="inlineStr"/>
    </row>
    <row r="15">
      <c r="A15" s="4" t="inlineStr">
        <is>
          <t>SAN.PA</t>
        </is>
      </c>
      <c r="B15" s="4" t="inlineStr">
        <is>
          <t>Sanofi</t>
        </is>
      </c>
      <c r="C15" s="4" t="inlineStr">
        <is>
          <t>CONFORME</t>
        </is>
      </c>
      <c r="D15" s="4" t="n">
        <v>77</v>
      </c>
      <c r="E15" s="4" t="inlineStr">
        <is>
          <t>Tous les critères AAOIFI respectés</t>
        </is>
      </c>
      <c r="F15" s="4" t="n">
        <v>76.39</v>
      </c>
      <c r="G15" s="4" t="n">
        <v>19</v>
      </c>
      <c r="H15" s="4" t="n">
        <v>512</v>
      </c>
      <c r="I15" s="4" t="n">
        <v>6.7</v>
      </c>
      <c r="J15" s="4" t="n">
        <v>16.7</v>
      </c>
      <c r="K15" s="4" t="n">
        <v>6.9</v>
      </c>
      <c r="L15" s="4" t="n">
        <v>0.36</v>
      </c>
      <c r="M15" s="4" t="n">
        <v>22</v>
      </c>
      <c r="N15" s="4" t="n">
        <v>8.300000000000001</v>
      </c>
      <c r="O15" s="4" t="n">
        <v>0</v>
      </c>
      <c r="P15" s="4" t="n">
        <v>0</v>
      </c>
      <c r="Q15" s="4" t="n">
        <v>0</v>
      </c>
      <c r="R15" s="4" t="inlineStr">
        <is>
          <t>Healthcare</t>
        </is>
      </c>
      <c r="S15" s="4" t="inlineStr">
        <is>
          <t>Drug Manufacturers - General</t>
        </is>
      </c>
      <c r="T15" s="4" t="inlineStr"/>
    </row>
    <row r="16">
      <c r="A16" s="5" t="inlineStr">
        <is>
          <t>HO.PA</t>
        </is>
      </c>
      <c r="B16" s="5" t="inlineStr">
        <is>
          <t>Thales</t>
        </is>
      </c>
      <c r="C16" s="5" t="inlineStr">
        <is>
          <t>CONFORME ⚠️</t>
        </is>
      </c>
      <c r="D16" s="5" t="n">
        <v>75</v>
      </c>
      <c r="E16" s="5" t="inlineStr">
        <is>
          <t>Tous les critères AAOIFI respectés</t>
        </is>
      </c>
      <c r="F16" s="5" t="n">
        <v>253.8</v>
      </c>
      <c r="G16" s="5" t="n">
        <v>31.2</v>
      </c>
      <c r="H16" s="5" t="n">
        <v>153</v>
      </c>
      <c r="I16" s="5" t="n">
        <v>21.1</v>
      </c>
      <c r="J16" s="5" t="n">
        <v>7.6</v>
      </c>
      <c r="K16" s="5" t="n">
        <v>7.1</v>
      </c>
      <c r="L16" s="5" t="n">
        <v>0.13</v>
      </c>
      <c r="M16" s="5" t="n">
        <v>11.8</v>
      </c>
      <c r="N16" s="5" t="n">
        <v>8.6</v>
      </c>
      <c r="O16" s="5" t="n">
        <v>0</v>
      </c>
      <c r="P16" s="5" t="n">
        <v>0</v>
      </c>
      <c r="Q16" s="5" t="n">
        <v>0</v>
      </c>
      <c r="R16" s="5" t="inlineStr">
        <is>
          <t>Industrials</t>
        </is>
      </c>
      <c r="S16" s="5" t="inlineStr">
        <is>
          <t>Aerospace &amp; Defense</t>
        </is>
      </c>
      <c r="T16" s="5" t="inlineStr">
        <is>
          <t>Vérifier si &gt; 5% du CA vient de l'armement offensif</t>
        </is>
      </c>
    </row>
    <row r="17">
      <c r="A17" s="5" t="inlineStr">
        <is>
          <t>AIR.PA</t>
        </is>
      </c>
      <c r="B17" s="5" t="inlineStr">
        <is>
          <t>Airbus</t>
        </is>
      </c>
      <c r="C17" s="5" t="inlineStr">
        <is>
          <t>CONFORME ⚠️</t>
        </is>
      </c>
      <c r="D17" s="5" t="n">
        <v>72</v>
      </c>
      <c r="E17" s="5" t="inlineStr">
        <is>
          <t>Tous les critères AAOIFI respectés</t>
        </is>
      </c>
      <c r="F17" s="5" t="n">
        <v>168.38</v>
      </c>
      <c r="G17" s="5" t="n">
        <v>25.5</v>
      </c>
      <c r="H17" s="5" t="n">
        <v>186</v>
      </c>
      <c r="I17" s="5" t="n">
        <v>21.6</v>
      </c>
      <c r="J17" s="5" t="n">
        <v>7.1</v>
      </c>
      <c r="K17" s="5" t="n">
        <v>5.1</v>
      </c>
      <c r="L17" s="5" t="n">
        <v>0.83</v>
      </c>
      <c r="M17" s="5" t="n">
        <v>10.7</v>
      </c>
      <c r="N17" s="5" t="n">
        <v>13.5</v>
      </c>
      <c r="O17" s="5" t="n">
        <v>0</v>
      </c>
      <c r="P17" s="5" t="n">
        <v>0</v>
      </c>
      <c r="Q17" s="5" t="n">
        <v>0</v>
      </c>
      <c r="R17" s="5" t="inlineStr">
        <is>
          <t>Industrials</t>
        </is>
      </c>
      <c r="S17" s="5" t="inlineStr">
        <is>
          <t>Aerospace &amp; Defense</t>
        </is>
      </c>
      <c r="T17" s="5" t="inlineStr">
        <is>
          <t>Vérifier si &gt; 5% du CA vient de l'armement offensif</t>
        </is>
      </c>
    </row>
    <row r="18">
      <c r="A18" s="4" t="inlineStr">
        <is>
          <t>PUB.PA</t>
        </is>
      </c>
      <c r="B18" s="4" t="inlineStr">
        <is>
          <t>Publicis</t>
        </is>
      </c>
      <c r="C18" s="4" t="inlineStr">
        <is>
          <t>CONFORME</t>
        </is>
      </c>
      <c r="D18" s="4" t="n">
        <v>61</v>
      </c>
      <c r="E18" s="4" t="inlineStr">
        <is>
          <t>Tous les critères AAOIFI respectés</t>
        </is>
      </c>
      <c r="F18" s="4" t="n">
        <v>75.62</v>
      </c>
      <c r="G18" s="4" t="n">
        <v>11.6</v>
      </c>
      <c r="H18" s="4" t="n">
        <v>481</v>
      </c>
      <c r="I18" s="4" t="n">
        <v>15.5</v>
      </c>
      <c r="J18" s="4" t="n">
        <v>9.5</v>
      </c>
      <c r="K18" s="4" t="n">
        <v>6.4</v>
      </c>
      <c r="L18" s="4" t="n">
        <v>0.55</v>
      </c>
      <c r="M18" s="4" t="n">
        <v>29.8</v>
      </c>
      <c r="N18" s="4" t="n">
        <v>21.2</v>
      </c>
      <c r="O18" s="4" t="n">
        <v>0</v>
      </c>
      <c r="P18" s="4" t="n">
        <v>0</v>
      </c>
      <c r="Q18" s="4" t="n">
        <v>0</v>
      </c>
      <c r="R18" s="4" t="inlineStr">
        <is>
          <t>Communication Services</t>
        </is>
      </c>
      <c r="S18" s="4" t="inlineStr">
        <is>
          <t>Advertising Agencies</t>
        </is>
      </c>
      <c r="T18" s="4" t="inlineStr"/>
    </row>
    <row r="19">
      <c r="A19" s="5" t="inlineStr">
        <is>
          <t>BN.PA</t>
        </is>
      </c>
      <c r="B19" s="5" t="inlineStr">
        <is>
          <t>Danone</t>
        </is>
      </c>
      <c r="C19" s="5" t="inlineStr">
        <is>
          <t>CONFORME ⚠️</t>
        </is>
      </c>
      <c r="D19" s="5" t="n">
        <v>54</v>
      </c>
      <c r="E19" s="5" t="inlineStr">
        <is>
          <t>Tous les critères AAOIFI respectés</t>
        </is>
      </c>
      <c r="F19" s="5" t="n">
        <v>71.92</v>
      </c>
      <c r="G19" s="5" t="n">
        <v>25.5</v>
      </c>
      <c r="H19" s="5" t="n">
        <v>320</v>
      </c>
      <c r="I19" s="5" t="n">
        <v>10.8</v>
      </c>
      <c r="J19" s="5" t="n">
        <v>6.7</v>
      </c>
      <c r="K19" s="5" t="n">
        <v>-0.5</v>
      </c>
      <c r="L19" s="5" t="n">
        <v>0.21</v>
      </c>
      <c r="M19" s="5" t="n">
        <v>32.8</v>
      </c>
      <c r="N19" s="5" t="n">
        <v>14.3</v>
      </c>
      <c r="O19" s="5" t="n">
        <v>0</v>
      </c>
      <c r="P19" s="5" t="n">
        <v>0</v>
      </c>
      <c r="Q19" s="5" t="n">
        <v>0</v>
      </c>
      <c r="R19" s="5" t="inlineStr">
        <is>
          <t>Consumer Defensive</t>
        </is>
      </c>
      <c r="S19" s="5" t="inlineStr">
        <is>
          <t>Packaged Foods</t>
        </is>
      </c>
      <c r="T19" s="5" t="inlineStr">
        <is>
          <t>Vérifier si produits à base de porc ou gélatine porcine</t>
        </is>
      </c>
    </row>
    <row r="20">
      <c r="A20" s="6" t="inlineStr">
        <is>
          <t>ERF.PA</t>
        </is>
      </c>
      <c r="B20" s="6" t="inlineStr">
        <is>
          <t>Eurofins Scientific</t>
        </is>
      </c>
      <c r="C20" s="6" t="inlineStr">
        <is>
          <t>NON CONFORME</t>
        </is>
      </c>
      <c r="D20" s="6" t="n">
        <v>69</v>
      </c>
      <c r="E20" s="6" t="inlineStr">
        <is>
          <t>Ratio dette : 40.8% &gt; 33%</t>
        </is>
      </c>
      <c r="F20" s="6" t="n">
        <v>61.48</v>
      </c>
      <c r="G20" s="6" t="n">
        <v>24.1</v>
      </c>
      <c r="H20" s="6" t="n">
        <v>97</v>
      </c>
      <c r="I20" s="6" t="n">
        <v>9.5</v>
      </c>
      <c r="J20" s="6" t="n">
        <v>6.5</v>
      </c>
      <c r="K20" s="6" t="n">
        <v>4.3</v>
      </c>
      <c r="L20" s="6" t="n">
        <v>0.9399999999999999</v>
      </c>
      <c r="M20" s="6" t="n">
        <v>40.8</v>
      </c>
      <c r="N20" s="6" t="n">
        <v>7.3</v>
      </c>
      <c r="O20" s="6" t="n">
        <v>0</v>
      </c>
      <c r="P20" s="6" t="n">
        <v>0</v>
      </c>
      <c r="Q20" s="6" t="n">
        <v>0</v>
      </c>
      <c r="R20" s="6" t="inlineStr">
        <is>
          <t>Healthcare</t>
        </is>
      </c>
      <c r="S20" s="6" t="inlineStr">
        <is>
          <t>Diagnostics &amp; Research</t>
        </is>
      </c>
      <c r="T20" s="6" t="inlineStr"/>
    </row>
    <row r="21">
      <c r="A21" s="6" t="inlineStr">
        <is>
          <t>ALO.PA</t>
        </is>
      </c>
      <c r="B21" s="6" t="inlineStr">
        <is>
          <t>Schneider Electric</t>
        </is>
      </c>
      <c r="C21" s="6" t="inlineStr">
        <is>
          <t>NON CONFORME</t>
        </is>
      </c>
      <c r="D21" s="6" t="n">
        <v>63</v>
      </c>
      <c r="E21" s="6" t="inlineStr">
        <is>
          <t>Ratio dette : 36.1% &gt; 33%</t>
        </is>
      </c>
      <c r="F21" s="6" t="n">
        <v>23.3</v>
      </c>
      <c r="G21" s="6" t="n">
        <v>40.2</v>
      </c>
      <c r="H21" s="6" t="n">
        <v>0</v>
      </c>
      <c r="I21" s="6" t="n">
        <v>3.3</v>
      </c>
      <c r="J21" s="6" t="n">
        <v>1.7</v>
      </c>
      <c r="K21" s="6" t="n">
        <v>3.2</v>
      </c>
      <c r="L21" s="6" t="n">
        <v>1.27</v>
      </c>
      <c r="M21" s="6" t="n">
        <v>36.1</v>
      </c>
      <c r="N21" s="6" t="n">
        <v>15.7</v>
      </c>
      <c r="O21" s="6" t="n">
        <v>0</v>
      </c>
      <c r="P21" s="6" t="n">
        <v>0</v>
      </c>
      <c r="Q21" s="6" t="n">
        <v>0</v>
      </c>
      <c r="R21" s="6" t="inlineStr">
        <is>
          <t>Industrials</t>
        </is>
      </c>
      <c r="S21" s="6" t="inlineStr">
        <is>
          <t>Railroads</t>
        </is>
      </c>
      <c r="T21" s="6" t="inlineStr"/>
    </row>
    <row r="22">
      <c r="A22" s="6" t="inlineStr">
        <is>
          <t>MT.AS</t>
        </is>
      </c>
      <c r="B22" s="6" t="inlineStr">
        <is>
          <t>ArcelorMittal</t>
        </is>
      </c>
      <c r="C22" s="6" t="inlineStr">
        <is>
          <t>NON CONFORME</t>
        </is>
      </c>
      <c r="D22" s="6" t="n">
        <v>63</v>
      </c>
      <c r="E22" s="6" t="inlineStr">
        <is>
          <t>Ratio dette : 39.4% &gt; 33%</t>
        </is>
      </c>
      <c r="F22" s="6" t="n">
        <v>44.73</v>
      </c>
      <c r="G22" s="6" t="n">
        <v>12.6</v>
      </c>
      <c r="H22" s="6" t="n">
        <v>108</v>
      </c>
      <c r="I22" s="6" t="n">
        <v>6</v>
      </c>
      <c r="J22" s="6" t="n">
        <v>5.1</v>
      </c>
      <c r="K22" s="6" t="n">
        <v>1.7</v>
      </c>
      <c r="L22" s="6" t="n">
        <v>1.67</v>
      </c>
      <c r="M22" s="6" t="n">
        <v>39.4</v>
      </c>
      <c r="N22" s="6" t="n">
        <v>15.8</v>
      </c>
      <c r="O22" s="6" t="n">
        <v>0</v>
      </c>
      <c r="P22" s="6" t="n">
        <v>0</v>
      </c>
      <c r="Q22" s="6" t="n">
        <v>0</v>
      </c>
      <c r="R22" s="6" t="inlineStr">
        <is>
          <t>Basic Materials</t>
        </is>
      </c>
      <c r="S22" s="6" t="inlineStr">
        <is>
          <t>Steel</t>
        </is>
      </c>
      <c r="T22" s="6" t="inlineStr"/>
    </row>
    <row r="23">
      <c r="A23" s="6" t="inlineStr">
        <is>
          <t>TTE.PA</t>
        </is>
      </c>
      <c r="B23" s="6" t="inlineStr">
        <is>
          <t>TotalEnergies</t>
        </is>
      </c>
      <c r="C23" s="6" t="inlineStr">
        <is>
          <t>NON CONFORME</t>
        </is>
      </c>
      <c r="D23" s="6" t="n">
        <v>60</v>
      </c>
      <c r="E23" s="6" t="inlineStr">
        <is>
          <t>Ratio dette : 40.0% &gt; 33%</t>
        </is>
      </c>
      <c r="F23" s="6" t="n">
        <v>72.33</v>
      </c>
      <c r="G23" s="6" t="n">
        <v>14.4</v>
      </c>
      <c r="H23" s="6" t="n">
        <v>483</v>
      </c>
      <c r="I23" s="6" t="n">
        <v>11.2</v>
      </c>
      <c r="J23" s="6" t="n">
        <v>7.2</v>
      </c>
      <c r="K23" s="6" t="n">
        <v>-2.5</v>
      </c>
      <c r="L23" s="6" t="n">
        <v>0.28</v>
      </c>
      <c r="M23" s="6" t="n">
        <v>40</v>
      </c>
      <c r="N23" s="6" t="n">
        <v>19.2</v>
      </c>
      <c r="O23" s="6" t="n">
        <v>0</v>
      </c>
      <c r="P23" s="6" t="n">
        <v>0</v>
      </c>
      <c r="Q23" s="6" t="n">
        <v>0</v>
      </c>
      <c r="R23" s="6" t="inlineStr">
        <is>
          <t>Energy</t>
        </is>
      </c>
      <c r="S23" s="6" t="inlineStr">
        <is>
          <t>Oil &amp; Gas Integrated</t>
        </is>
      </c>
      <c r="T23" s="6" t="inlineStr"/>
    </row>
    <row r="24">
      <c r="A24" s="6" t="inlineStr">
        <is>
          <t>SGO.PA</t>
        </is>
      </c>
      <c r="B24" s="6" t="inlineStr">
        <is>
          <t>Saint-Gobain</t>
        </is>
      </c>
      <c r="C24" s="6" t="inlineStr">
        <is>
          <t>NON CONFORME</t>
        </is>
      </c>
      <c r="D24" s="6" t="n">
        <v>59</v>
      </c>
      <c r="E24" s="6" t="inlineStr">
        <is>
          <t>Ratio dette : 50.8% &gt; 33%</t>
        </is>
      </c>
      <c r="F24" s="6" t="n">
        <v>71.8</v>
      </c>
      <c r="G24" s="6" t="n">
        <v>12.8</v>
      </c>
      <c r="H24" s="6" t="n">
        <v>318</v>
      </c>
      <c r="I24" s="6" t="n">
        <v>11.7</v>
      </c>
      <c r="J24" s="6" t="n">
        <v>6.2</v>
      </c>
      <c r="K24" s="6" t="n">
        <v>-2.1</v>
      </c>
      <c r="L24" s="6" t="n">
        <v>1.14</v>
      </c>
      <c r="M24" s="6" t="n">
        <v>50.8</v>
      </c>
      <c r="N24" s="6" t="n">
        <v>21.3</v>
      </c>
      <c r="O24" s="6" t="n">
        <v>0</v>
      </c>
      <c r="P24" s="6" t="n">
        <v>0</v>
      </c>
      <c r="Q24" s="6" t="n">
        <v>0</v>
      </c>
      <c r="R24" s="6" t="inlineStr">
        <is>
          <t>Industrials</t>
        </is>
      </c>
      <c r="S24" s="6" t="inlineStr">
        <is>
          <t>Building Products &amp; Equipment</t>
        </is>
      </c>
      <c r="T24" s="6" t="inlineStr"/>
    </row>
    <row r="25">
      <c r="A25" s="6" t="inlineStr">
        <is>
          <t>VIV.PA</t>
        </is>
      </c>
      <c r="B25" s="6" t="inlineStr">
        <is>
          <t>Vivendi</t>
        </is>
      </c>
      <c r="C25" s="6" t="inlineStr">
        <is>
          <t>NON CONFORME ⚠️</t>
        </is>
      </c>
      <c r="D25" s="6" t="n">
        <v>56</v>
      </c>
      <c r="E25" s="6" t="inlineStr">
        <is>
          <t>Ratio dette : 102.1% &gt; 33%</t>
        </is>
      </c>
      <c r="F25" s="6" t="n">
        <v>1.96</v>
      </c>
      <c r="G25" s="6" t="inlineStr">
        <is>
          <t>N/A</t>
        </is>
      </c>
      <c r="H25" s="6" t="n">
        <v>202</v>
      </c>
      <c r="I25" s="6" t="n">
        <v>-1.4</v>
      </c>
      <c r="J25" s="6" t="n">
        <v>0</v>
      </c>
      <c r="K25" s="6" t="n">
        <v>8.199999999999999</v>
      </c>
      <c r="L25" s="6" t="n">
        <v>1.16</v>
      </c>
      <c r="M25" s="6" t="n">
        <v>102.1</v>
      </c>
      <c r="N25" s="6" t="n">
        <v>12.3</v>
      </c>
      <c r="O25" s="6" t="n">
        <v>0</v>
      </c>
      <c r="P25" s="6" t="n">
        <v>0</v>
      </c>
      <c r="Q25" s="6" t="n">
        <v>0</v>
      </c>
      <c r="R25" s="6" t="inlineStr">
        <is>
          <t>Communication Services</t>
        </is>
      </c>
      <c r="S25" s="6" t="inlineStr">
        <is>
          <t>Entertainment</t>
        </is>
      </c>
      <c r="T25" s="6" t="inlineStr">
        <is>
          <t>Vérifier la nature du contenu (musique, films, etc.)</t>
        </is>
      </c>
    </row>
    <row r="26">
      <c r="A26" s="6" t="inlineStr">
        <is>
          <t>DG.PA</t>
        </is>
      </c>
      <c r="B26" s="6" t="inlineStr">
        <is>
          <t>Vinci</t>
        </is>
      </c>
      <c r="C26" s="6" t="inlineStr">
        <is>
          <t>NON CONFORME</t>
        </is>
      </c>
      <c r="D26" s="6" t="n">
        <v>55</v>
      </c>
      <c r="E26" s="6" t="inlineStr">
        <is>
          <t>Ratio dette : 56.8% &gt; 33%</t>
        </is>
      </c>
      <c r="F26" s="6" t="n">
        <v>129.35</v>
      </c>
      <c r="G26" s="6" t="n">
        <v>15</v>
      </c>
      <c r="H26" s="6" t="n">
        <v>385</v>
      </c>
      <c r="I26" s="6" t="n">
        <v>15.4</v>
      </c>
      <c r="J26" s="6" t="n">
        <v>6.5</v>
      </c>
      <c r="K26" s="6" t="n">
        <v>5.2</v>
      </c>
      <c r="L26" s="6" t="n">
        <v>0.79</v>
      </c>
      <c r="M26" s="6" t="n">
        <v>56.8</v>
      </c>
      <c r="N26" s="6" t="n">
        <v>25.8</v>
      </c>
      <c r="O26" s="6" t="n">
        <v>0</v>
      </c>
      <c r="P26" s="6" t="n">
        <v>0</v>
      </c>
      <c r="Q26" s="6" t="n">
        <v>0</v>
      </c>
      <c r="R26" s="6" t="inlineStr">
        <is>
          <t>Industrials</t>
        </is>
      </c>
      <c r="S26" s="6" t="inlineStr">
        <is>
          <t>Engineering &amp; Construction</t>
        </is>
      </c>
      <c r="T26" s="6" t="inlineStr"/>
    </row>
    <row r="27">
      <c r="A27" s="6" t="inlineStr">
        <is>
          <t>ENGI.PA</t>
        </is>
      </c>
      <c r="B27" s="6" t="inlineStr">
        <is>
          <t>Engie</t>
        </is>
      </c>
      <c r="C27" s="6" t="inlineStr">
        <is>
          <t>NON CONFORME</t>
        </is>
      </c>
      <c r="D27" s="6" t="n">
        <v>54</v>
      </c>
      <c r="E27" s="6" t="inlineStr">
        <is>
          <t>Ratio dette : 78.7% &gt; 33%</t>
        </is>
      </c>
      <c r="F27" s="6" t="n">
        <v>27.64</v>
      </c>
      <c r="G27" s="6" t="n">
        <v>13.6</v>
      </c>
      <c r="H27" s="6" t="n">
        <v>493</v>
      </c>
      <c r="I27" s="6" t="n">
        <v>11.5</v>
      </c>
      <c r="J27" s="6" t="n">
        <v>5.3</v>
      </c>
      <c r="K27" s="6" t="n">
        <v>-6.6</v>
      </c>
      <c r="L27" s="6" t="n">
        <v>0.62</v>
      </c>
      <c r="M27" s="6" t="n">
        <v>78.7</v>
      </c>
      <c r="N27" s="6" t="n">
        <v>27.5</v>
      </c>
      <c r="O27" s="6" t="n">
        <v>0</v>
      </c>
      <c r="P27" s="6" t="n">
        <v>0</v>
      </c>
      <c r="Q27" s="6" t="n">
        <v>0</v>
      </c>
      <c r="R27" s="6" t="inlineStr">
        <is>
          <t>Utilities</t>
        </is>
      </c>
      <c r="S27" s="6" t="inlineStr">
        <is>
          <t>Utilities - Diversified</t>
        </is>
      </c>
      <c r="T27" s="6" t="inlineStr"/>
    </row>
    <row r="28">
      <c r="A28" s="6" t="inlineStr">
        <is>
          <t>EN.PA</t>
        </is>
      </c>
      <c r="B28" s="6" t="inlineStr">
        <is>
          <t>Bouygues</t>
        </is>
      </c>
      <c r="C28" s="6" t="inlineStr">
        <is>
          <t>NON CONFORME</t>
        </is>
      </c>
      <c r="D28" s="6" t="n">
        <v>50</v>
      </c>
      <c r="E28" s="6" t="inlineStr">
        <is>
          <t>Ratio dette : 79.3% &gt; 33%</t>
        </is>
      </c>
      <c r="F28" s="6" t="n">
        <v>49.81</v>
      </c>
      <c r="G28" s="6" t="n">
        <v>18.1</v>
      </c>
      <c r="H28" s="6" t="n">
        <v>424</v>
      </c>
      <c r="I28" s="6" t="n">
        <v>8.699999999999999</v>
      </c>
      <c r="J28" s="6" t="n">
        <v>2</v>
      </c>
      <c r="K28" s="6" t="n">
        <v>-1.6</v>
      </c>
      <c r="L28" s="6" t="n">
        <v>0.72</v>
      </c>
      <c r="M28" s="6" t="n">
        <v>79.3</v>
      </c>
      <c r="N28" s="6" t="n">
        <v>39.4</v>
      </c>
      <c r="O28" s="6" t="n">
        <v>0</v>
      </c>
      <c r="P28" s="6" t="n">
        <v>0</v>
      </c>
      <c r="Q28" s="6" t="n">
        <v>0</v>
      </c>
      <c r="R28" s="6" t="inlineStr">
        <is>
          <t>Industrials</t>
        </is>
      </c>
      <c r="S28" s="6" t="inlineStr">
        <is>
          <t>Engineering &amp; Construction</t>
        </is>
      </c>
      <c r="T28" s="6" t="inlineStr"/>
    </row>
    <row r="29">
      <c r="A29" s="6" t="inlineStr">
        <is>
          <t>ORA.PA</t>
        </is>
      </c>
      <c r="B29" s="6" t="inlineStr">
        <is>
          <t>Orange</t>
        </is>
      </c>
      <c r="C29" s="6" t="inlineStr">
        <is>
          <t>NON CONFORME</t>
        </is>
      </c>
      <c r="D29" s="6" t="n">
        <v>50</v>
      </c>
      <c r="E29" s="6" t="inlineStr">
        <is>
          <t>Ratio dette : 98.3% &gt; 33%</t>
        </is>
      </c>
      <c r="F29" s="6" t="n">
        <v>17.52</v>
      </c>
      <c r="G29" s="6" t="n">
        <v>87.59999999999999</v>
      </c>
      <c r="H29" s="6" t="n">
        <v>437</v>
      </c>
      <c r="I29" s="6" t="n">
        <v>3.2</v>
      </c>
      <c r="J29" s="6" t="n">
        <v>1.3</v>
      </c>
      <c r="K29" s="6" t="n">
        <v>0</v>
      </c>
      <c r="L29" s="6" t="n">
        <v>0.25</v>
      </c>
      <c r="M29" s="6" t="n">
        <v>98.3</v>
      </c>
      <c r="N29" s="6" t="n">
        <v>32.8</v>
      </c>
      <c r="O29" s="6" t="n">
        <v>0</v>
      </c>
      <c r="P29" s="6" t="n">
        <v>0</v>
      </c>
      <c r="Q29" s="6" t="n">
        <v>0</v>
      </c>
      <c r="R29" s="6" t="inlineStr">
        <is>
          <t>Communication Services</t>
        </is>
      </c>
      <c r="S29" s="6" t="inlineStr">
        <is>
          <t>Telecom Services</t>
        </is>
      </c>
      <c r="T29" s="6" t="inlineStr"/>
    </row>
    <row r="30">
      <c r="A30" s="6" t="inlineStr">
        <is>
          <t>RNO.PA</t>
        </is>
      </c>
      <c r="B30" s="6" t="inlineStr">
        <is>
          <t>Renault</t>
        </is>
      </c>
      <c r="C30" s="6" t="inlineStr">
        <is>
          <t>NON CONFORME</t>
        </is>
      </c>
      <c r="D30" s="6" t="n">
        <v>50</v>
      </c>
      <c r="E30" s="6" t="inlineStr">
        <is>
          <t>Ratio dette : 852.5% &gt; 33%</t>
        </is>
      </c>
      <c r="F30" s="6" t="n">
        <v>28.47</v>
      </c>
      <c r="G30" s="6" t="inlineStr">
        <is>
          <t>N/A</t>
        </is>
      </c>
      <c r="H30" s="6" t="n">
        <v>755</v>
      </c>
      <c r="I30" s="6" t="n">
        <v>-40.4</v>
      </c>
      <c r="J30" s="6" t="n">
        <v>-18.9</v>
      </c>
      <c r="K30" s="6" t="n">
        <v>3.4</v>
      </c>
      <c r="L30" s="6" t="n">
        <v>0.78</v>
      </c>
      <c r="M30" s="6" t="n">
        <v>852.5</v>
      </c>
      <c r="N30" s="6" t="n">
        <v>246.7</v>
      </c>
      <c r="O30" s="6" t="n">
        <v>0</v>
      </c>
      <c r="P30" s="6" t="n">
        <v>0</v>
      </c>
      <c r="Q30" s="6" t="n">
        <v>0</v>
      </c>
      <c r="R30" s="6" t="inlineStr">
        <is>
          <t>Consumer Cyclical</t>
        </is>
      </c>
      <c r="S30" s="6" t="inlineStr">
        <is>
          <t>Auto Manufacturers</t>
        </is>
      </c>
      <c r="T30" s="6" t="inlineStr"/>
    </row>
    <row r="31">
      <c r="A31" s="6" t="inlineStr">
        <is>
          <t>STLAP.PA</t>
        </is>
      </c>
      <c r="B31" s="6" t="inlineStr">
        <is>
          <t>Stellantis</t>
        </is>
      </c>
      <c r="C31" s="6" t="inlineStr">
        <is>
          <t>NON CONFORME</t>
        </is>
      </c>
      <c r="D31" s="6" t="n">
        <v>50</v>
      </c>
      <c r="E31" s="6" t="inlineStr">
        <is>
          <t>Ratio dette : 277.9% &gt; 33%</t>
        </is>
      </c>
      <c r="F31" s="6" t="n">
        <v>5.71</v>
      </c>
      <c r="G31" s="6" t="inlineStr">
        <is>
          <t>N/A</t>
        </is>
      </c>
      <c r="H31" s="6" t="n">
        <v>1113</v>
      </c>
      <c r="I31" s="6" t="n">
        <v>-32.8</v>
      </c>
      <c r="J31" s="6" t="n">
        <v>-14.6</v>
      </c>
      <c r="K31" s="6" t="n">
        <v>10.3</v>
      </c>
      <c r="L31" s="6" t="n">
        <v>0.98</v>
      </c>
      <c r="M31" s="6" t="n">
        <v>277.9</v>
      </c>
      <c r="N31" s="6" t="n">
        <v>177.5</v>
      </c>
      <c r="O31" s="6" t="n">
        <v>0</v>
      </c>
      <c r="P31" s="6" t="n">
        <v>0</v>
      </c>
      <c r="Q31" s="6" t="n">
        <v>0</v>
      </c>
      <c r="R31" s="6" t="inlineStr">
        <is>
          <t>Consumer Cyclical</t>
        </is>
      </c>
      <c r="S31" s="6" t="inlineStr">
        <is>
          <t>Auto Manufacturers</t>
        </is>
      </c>
      <c r="T31" s="6" t="inlineStr"/>
    </row>
    <row r="32">
      <c r="A32" s="6" t="inlineStr">
        <is>
          <t>TEP.PA</t>
        </is>
      </c>
      <c r="B32" s="6" t="inlineStr">
        <is>
          <t>Teleperformance</t>
        </is>
      </c>
      <c r="C32" s="6" t="inlineStr">
        <is>
          <t>NON CONFORME</t>
        </is>
      </c>
      <c r="D32" s="6" t="n">
        <v>50</v>
      </c>
      <c r="E32" s="6" t="inlineStr">
        <is>
          <t>Ratio dette : 166.8% &gt; 33%</t>
        </is>
      </c>
      <c r="F32" s="6" t="n">
        <v>51.24</v>
      </c>
      <c r="G32" s="6" t="n">
        <v>6.1</v>
      </c>
      <c r="H32" s="6" t="n">
        <v>885</v>
      </c>
      <c r="I32" s="6" t="n">
        <v>11.5</v>
      </c>
      <c r="J32" s="6" t="n">
        <v>4.9</v>
      </c>
      <c r="K32" s="6" t="n">
        <v>-2.1</v>
      </c>
      <c r="L32" s="6" t="n">
        <v>0.5600000000000001</v>
      </c>
      <c r="M32" s="6" t="n">
        <v>166.8</v>
      </c>
      <c r="N32" s="6" t="n">
        <v>33.4</v>
      </c>
      <c r="O32" s="6" t="n">
        <v>0</v>
      </c>
      <c r="P32" s="6" t="n">
        <v>0</v>
      </c>
      <c r="Q32" s="6" t="n">
        <v>0</v>
      </c>
      <c r="R32" s="6" t="inlineStr">
        <is>
          <t>Industrials</t>
        </is>
      </c>
      <c r="S32" s="6" t="inlineStr">
        <is>
          <t>Specialty Business Services</t>
        </is>
      </c>
      <c r="T32" s="6" t="inlineStr"/>
    </row>
    <row r="33">
      <c r="A33" s="6" t="inlineStr">
        <is>
          <t>VIE.PA</t>
        </is>
      </c>
      <c r="B33" s="6" t="inlineStr">
        <is>
          <t>Veolia</t>
        </is>
      </c>
      <c r="C33" s="6" t="inlineStr">
        <is>
          <t>NON CONFORME</t>
        </is>
      </c>
      <c r="D33" s="6" t="n">
        <v>50</v>
      </c>
      <c r="E33" s="6" t="inlineStr">
        <is>
          <t>Ratio dette : 122.6% &gt; 33%</t>
        </is>
      </c>
      <c r="F33" s="6" t="n">
        <v>32.92</v>
      </c>
      <c r="G33" s="6" t="n">
        <v>19.4</v>
      </c>
      <c r="H33" s="6" t="n">
        <v>451</v>
      </c>
      <c r="I33" s="6" t="n">
        <v>12.2</v>
      </c>
      <c r="J33" s="6" t="n">
        <v>2.7</v>
      </c>
      <c r="K33" s="6" t="n">
        <v>0</v>
      </c>
      <c r="L33" s="6" t="n">
        <v>1.04</v>
      </c>
      <c r="M33" s="6" t="n">
        <v>122.6</v>
      </c>
      <c r="N33" s="6" t="n">
        <v>42.1</v>
      </c>
      <c r="O33" s="6" t="n">
        <v>0</v>
      </c>
      <c r="P33" s="6" t="n">
        <v>0</v>
      </c>
      <c r="Q33" s="6" t="n">
        <v>0</v>
      </c>
      <c r="R33" s="6" t="inlineStr">
        <is>
          <t>Industrials</t>
        </is>
      </c>
      <c r="S33" s="6" t="inlineStr">
        <is>
          <t>Waste Management</t>
        </is>
      </c>
      <c r="T33" s="6" t="inlineStr"/>
    </row>
    <row r="34">
      <c r="A34" s="6" t="inlineStr">
        <is>
          <t>WLN.PA</t>
        </is>
      </c>
      <c r="B34" s="6" t="inlineStr">
        <is>
          <t>Worldline</t>
        </is>
      </c>
      <c r="C34" s="6" t="inlineStr">
        <is>
          <t>NON CONFORME</t>
        </is>
      </c>
      <c r="D34" s="6" t="n">
        <v>50</v>
      </c>
      <c r="E34" s="6" t="inlineStr">
        <is>
          <t>Ratio dette : 676.5% &gt; 33%</t>
        </is>
      </c>
      <c r="F34" s="6" t="n">
        <v>0.37</v>
      </c>
      <c r="G34" s="6" t="inlineStr">
        <is>
          <t>N/A</t>
        </is>
      </c>
      <c r="H34" s="6" t="n">
        <v>0</v>
      </c>
      <c r="I34" s="6" t="n">
        <v>-77.90000000000001</v>
      </c>
      <c r="J34" s="6" t="n">
        <v>-128</v>
      </c>
      <c r="K34" s="6" t="n">
        <v>0</v>
      </c>
      <c r="L34" s="6" t="n">
        <v>1.13</v>
      </c>
      <c r="M34" s="6" t="n">
        <v>676.5</v>
      </c>
      <c r="N34" s="6" t="n">
        <v>196</v>
      </c>
      <c r="O34" s="6" t="n">
        <v>0</v>
      </c>
      <c r="P34" s="6" t="n">
        <v>0</v>
      </c>
      <c r="Q34" s="6" t="n">
        <v>0</v>
      </c>
      <c r="R34" s="6" t="inlineStr">
        <is>
          <t>Technology</t>
        </is>
      </c>
      <c r="S34" s="6" t="inlineStr">
        <is>
          <t>Software - Infrastructure</t>
        </is>
      </c>
      <c r="T34" s="6" t="inlineStr"/>
    </row>
    <row r="35">
      <c r="A35" s="6" t="inlineStr">
        <is>
          <t>CA.PA</t>
        </is>
      </c>
      <c r="B35" s="6" t="inlineStr">
        <is>
          <t>Carrefour</t>
        </is>
      </c>
      <c r="C35" s="6" t="inlineStr">
        <is>
          <t>NON CONFORME ⚠️</t>
        </is>
      </c>
      <c r="D35" s="6" t="n">
        <v>40</v>
      </c>
      <c r="E35" s="6" t="inlineStr">
        <is>
          <t>Ratio dette : 192.5% &gt; 33%</t>
        </is>
      </c>
      <c r="F35" s="6" t="n">
        <v>15.5</v>
      </c>
      <c r="G35" s="6" t="n">
        <v>10.9</v>
      </c>
      <c r="H35" s="6" t="n">
        <v>629</v>
      </c>
      <c r="I35" s="6" t="n">
        <v>8.6</v>
      </c>
      <c r="J35" s="6" t="n">
        <v>0.4</v>
      </c>
      <c r="K35" s="6" t="n">
        <v>0</v>
      </c>
      <c r="L35" s="6" t="n">
        <v>0.6899999999999999</v>
      </c>
      <c r="M35" s="6" t="n">
        <v>192.5</v>
      </c>
      <c r="N35" s="6" t="n">
        <v>58.1</v>
      </c>
      <c r="O35" s="6" t="n">
        <v>0</v>
      </c>
      <c r="P35" s="6" t="n">
        <v>0</v>
      </c>
      <c r="Q35" s="6" t="n">
        <v>0</v>
      </c>
      <c r="R35" s="6" t="inlineStr">
        <is>
          <t>Consumer Defensive</t>
        </is>
      </c>
      <c r="S35" s="6" t="inlineStr">
        <is>
          <t>Grocery Stores</t>
        </is>
      </c>
      <c r="T35" s="6" t="inlineStr">
        <is>
          <t>Vérifier le % de CA provenant de l'alcool et du porc</t>
        </is>
      </c>
    </row>
    <row r="36">
      <c r="A36" s="7" t="inlineStr">
        <is>
          <t>CS.PA</t>
        </is>
      </c>
      <c r="B36" s="7" t="inlineStr">
        <is>
          <t>AXA</t>
        </is>
      </c>
      <c r="C36" s="7" t="inlineStr">
        <is>
          <t>HARAM</t>
        </is>
      </c>
      <c r="D36" s="7" t="n">
        <v>0</v>
      </c>
      <c r="E36" s="7" t="inlineStr">
        <is>
          <t>Secteur interdit : Financial Services</t>
        </is>
      </c>
      <c r="F36" s="7" t="n">
        <v>38.3</v>
      </c>
      <c r="G36" s="7" t="n">
        <v>8.199999999999999</v>
      </c>
      <c r="H36" s="7" t="n">
        <v>608</v>
      </c>
      <c r="I36" s="7" t="n">
        <v>18.1</v>
      </c>
      <c r="J36" s="7" t="n">
        <v>11.7</v>
      </c>
      <c r="K36" s="7" t="n">
        <v>2.3</v>
      </c>
      <c r="L36" s="7" t="n">
        <v>0.61</v>
      </c>
      <c r="M36" s="7" t="inlineStr">
        <is>
          <t>N/A</t>
        </is>
      </c>
      <c r="N36" s="7" t="inlineStr">
        <is>
          <t>N/A</t>
        </is>
      </c>
      <c r="O36" s="7" t="inlineStr">
        <is>
          <t>N/A</t>
        </is>
      </c>
      <c r="P36" s="7" t="inlineStr">
        <is>
          <t>N/A</t>
        </is>
      </c>
      <c r="Q36" s="7" t="n">
        <v>0</v>
      </c>
      <c r="R36" s="7" t="inlineStr">
        <is>
          <t>Financial Services</t>
        </is>
      </c>
      <c r="S36" s="7" t="inlineStr">
        <is>
          <t>Insurance - Diversified</t>
        </is>
      </c>
      <c r="T36" s="7" t="inlineStr"/>
    </row>
    <row r="37">
      <c r="A37" s="7" t="inlineStr">
        <is>
          <t>BNP.PA</t>
        </is>
      </c>
      <c r="B37" s="7" t="inlineStr">
        <is>
          <t>BNP Paribas</t>
        </is>
      </c>
      <c r="C37" s="7" t="inlineStr">
        <is>
          <t>HARAM</t>
        </is>
      </c>
      <c r="D37" s="7" t="n">
        <v>0</v>
      </c>
      <c r="E37" s="7" t="inlineStr">
        <is>
          <t>Secteur interdit : Financial Services</t>
        </is>
      </c>
      <c r="F37" s="7" t="n">
        <v>84.89</v>
      </c>
      <c r="G37" s="7" t="n">
        <v>8.199999999999999</v>
      </c>
      <c r="H37" s="7" t="n">
        <v>1160</v>
      </c>
      <c r="I37" s="7" t="n">
        <v>9.699999999999999</v>
      </c>
      <c r="J37" s="7" t="n">
        <v>25.5</v>
      </c>
      <c r="K37" s="7" t="n">
        <v>11.5</v>
      </c>
      <c r="L37" s="7" t="n">
        <v>0.99</v>
      </c>
      <c r="M37" s="7" t="inlineStr">
        <is>
          <t>N/A</t>
        </is>
      </c>
      <c r="N37" s="7" t="inlineStr">
        <is>
          <t>N/A</t>
        </is>
      </c>
      <c r="O37" s="7" t="inlineStr">
        <is>
          <t>N/A</t>
        </is>
      </c>
      <c r="P37" s="7" t="inlineStr">
        <is>
          <t>N/A</t>
        </is>
      </c>
      <c r="Q37" s="7" t="n">
        <v>0</v>
      </c>
      <c r="R37" s="7" t="inlineStr">
        <is>
          <t>Financial Services</t>
        </is>
      </c>
      <c r="S37" s="7" t="inlineStr">
        <is>
          <t>Banks - Regional</t>
        </is>
      </c>
      <c r="T37" s="7" t="inlineStr"/>
    </row>
    <row r="38">
      <c r="A38" s="7" t="inlineStr">
        <is>
          <t>ACA.PA</t>
        </is>
      </c>
      <c r="B38" s="7" t="inlineStr">
        <is>
          <t>Crédit Agricole</t>
        </is>
      </c>
      <c r="C38" s="7" t="inlineStr">
        <is>
          <t>HARAM</t>
        </is>
      </c>
      <c r="D38" s="7" t="n">
        <v>0</v>
      </c>
      <c r="E38" s="7" t="inlineStr">
        <is>
          <t>Secteur interdit : Financial Services</t>
        </is>
      </c>
      <c r="F38" s="7" t="n">
        <v>16.32</v>
      </c>
      <c r="G38" s="7" t="n">
        <v>7.5</v>
      </c>
      <c r="H38" s="7" t="n">
        <v>684</v>
      </c>
      <c r="I38" s="7" t="n">
        <v>6.9</v>
      </c>
      <c r="J38" s="7" t="n">
        <v>26.6</v>
      </c>
      <c r="K38" s="7" t="n">
        <v>-60.4</v>
      </c>
      <c r="L38" s="7" t="n">
        <v>0.74</v>
      </c>
      <c r="M38" s="7" t="inlineStr">
        <is>
          <t>N/A</t>
        </is>
      </c>
      <c r="N38" s="7" t="inlineStr">
        <is>
          <t>N/A</t>
        </is>
      </c>
      <c r="O38" s="7" t="inlineStr">
        <is>
          <t>N/A</t>
        </is>
      </c>
      <c r="P38" s="7" t="inlineStr">
        <is>
          <t>N/A</t>
        </is>
      </c>
      <c r="Q38" s="7" t="n">
        <v>0</v>
      </c>
      <c r="R38" s="7" t="inlineStr">
        <is>
          <t>Financial Services</t>
        </is>
      </c>
      <c r="S38" s="7" t="inlineStr">
        <is>
          <t>Banks - Regional</t>
        </is>
      </c>
      <c r="T38" s="7" t="inlineStr"/>
    </row>
    <row r="39">
      <c r="A39" s="7" t="inlineStr">
        <is>
          <t>KER.PA</t>
        </is>
      </c>
      <c r="B39" s="7" t="inlineStr">
        <is>
          <t>Kering</t>
        </is>
      </c>
      <c r="C39" s="7" t="inlineStr">
        <is>
          <t>HARAM</t>
        </is>
      </c>
      <c r="D39" s="7" t="n">
        <v>0</v>
      </c>
      <c r="E39" s="7" t="inlineStr">
        <is>
          <t>Kering — possède Château Latour (vignobles, production de vin)</t>
        </is>
      </c>
      <c r="F39" s="7" t="n">
        <v>248.7</v>
      </c>
      <c r="G39" s="7" t="inlineStr">
        <is>
          <t>N/A</t>
        </is>
      </c>
      <c r="H39" s="7" t="n">
        <v>98</v>
      </c>
      <c r="I39" s="7" t="n">
        <v>0.2</v>
      </c>
      <c r="J39" s="7" t="n">
        <v>0.5</v>
      </c>
      <c r="K39" s="7" t="n">
        <v>0</v>
      </c>
      <c r="L39" s="7" t="n">
        <v>1.12</v>
      </c>
      <c r="M39" s="7" t="inlineStr">
        <is>
          <t>N/A</t>
        </is>
      </c>
      <c r="N39" s="7" t="inlineStr">
        <is>
          <t>N/A</t>
        </is>
      </c>
      <c r="O39" s="7" t="inlineStr">
        <is>
          <t>N/A</t>
        </is>
      </c>
      <c r="P39" s="7" t="inlineStr">
        <is>
          <t>N/A</t>
        </is>
      </c>
      <c r="Q39" s="7" t="n">
        <v>0</v>
      </c>
      <c r="R39" s="7" t="inlineStr">
        <is>
          <t>Consumer Cyclical</t>
        </is>
      </c>
      <c r="S39" s="7" t="inlineStr">
        <is>
          <t>Luxury Goods</t>
        </is>
      </c>
      <c r="T39" s="7" t="inlineStr"/>
    </row>
    <row r="40">
      <c r="A40" s="7" t="inlineStr">
        <is>
          <t>MC.PA</t>
        </is>
      </c>
      <c r="B40" s="7" t="inlineStr">
        <is>
          <t>LVMH</t>
        </is>
      </c>
      <c r="C40" s="7" t="inlineStr">
        <is>
          <t>HARAM</t>
        </is>
      </c>
      <c r="D40" s="7" t="n">
        <v>0</v>
      </c>
      <c r="E40" s="7" t="inlineStr">
        <is>
          <t>LVMH — Moët Hennessy (alcool) représente ~8% du CA</t>
        </is>
      </c>
      <c r="F40" s="7" t="n">
        <v>473.7</v>
      </c>
      <c r="G40" s="7" t="n">
        <v>21.7</v>
      </c>
      <c r="H40" s="7" t="n">
        <v>263</v>
      </c>
      <c r="I40" s="7" t="n">
        <v>16.2</v>
      </c>
      <c r="J40" s="7" t="n">
        <v>13.5</v>
      </c>
      <c r="K40" s="7" t="n">
        <v>-4.7</v>
      </c>
      <c r="L40" s="7" t="n">
        <v>0.84</v>
      </c>
      <c r="M40" s="7" t="inlineStr">
        <is>
          <t>N/A</t>
        </is>
      </c>
      <c r="N40" s="7" t="inlineStr">
        <is>
          <t>N/A</t>
        </is>
      </c>
      <c r="O40" s="7" t="inlineStr">
        <is>
          <t>N/A</t>
        </is>
      </c>
      <c r="P40" s="7" t="inlineStr">
        <is>
          <t>N/A</t>
        </is>
      </c>
      <c r="Q40" s="7" t="n">
        <v>0</v>
      </c>
      <c r="R40" s="7" t="inlineStr">
        <is>
          <t>Consumer Cyclical</t>
        </is>
      </c>
      <c r="S40" s="7" t="inlineStr">
        <is>
          <t>Luxury Goods</t>
        </is>
      </c>
      <c r="T40" s="7" t="inlineStr"/>
    </row>
    <row r="41">
      <c r="A41" s="7" t="inlineStr">
        <is>
          <t>RI.PA</t>
        </is>
      </c>
      <c r="B41" s="7" t="inlineStr">
        <is>
          <t>Pernod Ricard</t>
        </is>
      </c>
      <c r="C41" s="7" t="inlineStr">
        <is>
          <t>HARAM</t>
        </is>
      </c>
      <c r="D41" s="7" t="n">
        <v>0</v>
      </c>
      <c r="E41" s="7" t="inlineStr">
        <is>
          <t>Pernod Ricard — activité principale = production d'alcool (100%)</t>
        </is>
      </c>
      <c r="F41" s="7" t="n">
        <v>68.52</v>
      </c>
      <c r="G41" s="7" t="n">
        <v>12.3</v>
      </c>
      <c r="H41" s="7" t="n">
        <v>686</v>
      </c>
      <c r="I41" s="7" t="n">
        <v>8.6</v>
      </c>
      <c r="J41" s="7" t="n">
        <v>14.1</v>
      </c>
      <c r="K41" s="7" t="n">
        <v>-14.9</v>
      </c>
      <c r="L41" s="7" t="n">
        <v>0.38</v>
      </c>
      <c r="M41" s="7" t="inlineStr">
        <is>
          <t>N/A</t>
        </is>
      </c>
      <c r="N41" s="7" t="inlineStr">
        <is>
          <t>N/A</t>
        </is>
      </c>
      <c r="O41" s="7" t="inlineStr">
        <is>
          <t>N/A</t>
        </is>
      </c>
      <c r="P41" s="7" t="inlineStr">
        <is>
          <t>N/A</t>
        </is>
      </c>
      <c r="Q41" s="7" t="n">
        <v>0</v>
      </c>
      <c r="R41" s="7" t="inlineStr">
        <is>
          <t>Consumer Defensive</t>
        </is>
      </c>
      <c r="S41" s="7" t="inlineStr">
        <is>
          <t>Beverages - Wineries &amp; Distilleries</t>
        </is>
      </c>
      <c r="T41" s="7" t="inlineStr"/>
    </row>
    <row r="42">
      <c r="A42" s="7" t="inlineStr">
        <is>
          <t>GLE.PA</t>
        </is>
      </c>
      <c r="B42" s="7" t="inlineStr">
        <is>
          <t>Société Générale</t>
        </is>
      </c>
      <c r="C42" s="7" t="inlineStr">
        <is>
          <t>HARAM</t>
        </is>
      </c>
      <c r="D42" s="7" t="n">
        <v>0</v>
      </c>
      <c r="E42" s="7" t="inlineStr">
        <is>
          <t>Secteur interdit : Financial Services</t>
        </is>
      </c>
      <c r="F42" s="7" t="n">
        <v>64.12</v>
      </c>
      <c r="G42" s="7" t="n">
        <v>9.4</v>
      </c>
      <c r="H42" s="7" t="n">
        <v>245</v>
      </c>
      <c r="I42" s="7" t="n">
        <v>8.800000000000001</v>
      </c>
      <c r="J42" s="7" t="n">
        <v>23.3</v>
      </c>
      <c r="K42" s="7" t="n">
        <v>0.5</v>
      </c>
      <c r="L42" s="7" t="n">
        <v>0.91</v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n">
        <v>0</v>
      </c>
      <c r="R42" s="7" t="inlineStr">
        <is>
          <t>Financial Services</t>
        </is>
      </c>
      <c r="S42" s="7" t="inlineStr">
        <is>
          <t>Banks - Regional</t>
        </is>
      </c>
      <c r="T42" s="7" t="inlineStr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8B4E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5" customWidth="1" min="10" max="10"/>
  </cols>
  <sheetData>
    <row r="1">
      <c r="A1" s="8" t="inlineStr">
        <is>
          <t>TOP ACTIONS HALAL — Classement par Score Sharia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Rang</t>
        </is>
      </c>
      <c r="B2" s="10" t="inlineStr">
        <is>
          <t>Nom</t>
        </is>
      </c>
      <c r="C2" s="10" t="inlineStr">
        <is>
          <t>Score Sharia</t>
        </is>
      </c>
      <c r="D2" s="10" t="inlineStr">
        <is>
          <t>Prix (€)</t>
        </is>
      </c>
      <c r="E2" s="10" t="inlineStr">
        <is>
          <t>PER</t>
        </is>
      </c>
      <c r="F2" s="10" t="inlineStr">
        <is>
          <t>Dividende (%)</t>
        </is>
      </c>
      <c r="G2" s="10" t="inlineStr">
        <is>
          <t>ROE (%)</t>
        </is>
      </c>
      <c r="H2" s="10" t="inlineStr">
        <is>
          <t>Dette/Cap (%)</t>
        </is>
      </c>
      <c r="I2" s="10" t="inlineStr">
        <is>
          <t>Purification (%)</t>
        </is>
      </c>
      <c r="J2" s="10" t="inlineStr">
        <is>
          <t>Attention</t>
        </is>
      </c>
    </row>
    <row r="3">
      <c r="A3" s="11" t="n">
        <v>1</v>
      </c>
      <c r="B3" s="11" t="inlineStr">
        <is>
          <t>Unibail-Rodamco</t>
        </is>
      </c>
      <c r="C3" s="11" t="n">
        <v>100</v>
      </c>
      <c r="D3" s="12" t="n">
        <v>0</v>
      </c>
      <c r="E3" s="12" t="inlineStr">
        <is>
          <t>N/A</t>
        </is>
      </c>
      <c r="F3" s="12" t="n">
        <v>0</v>
      </c>
      <c r="G3" s="12" t="n">
        <v>0</v>
      </c>
      <c r="H3" s="12" t="n">
        <v>0</v>
      </c>
      <c r="I3" s="12" t="n">
        <v>0</v>
      </c>
      <c r="J3" s="12" t="inlineStr"/>
    </row>
    <row r="4">
      <c r="A4" s="11" t="n">
        <v>2</v>
      </c>
      <c r="B4" s="11" t="inlineStr">
        <is>
          <t>Capgemini</t>
        </is>
      </c>
      <c r="C4" s="11" t="n">
        <v>100</v>
      </c>
      <c r="D4" s="12" t="n">
        <v>107.8</v>
      </c>
      <c r="E4" s="12" t="n">
        <v>11.8</v>
      </c>
      <c r="F4" s="12" t="n">
        <v>316</v>
      </c>
      <c r="G4" s="12" t="n">
        <v>0</v>
      </c>
      <c r="H4" s="12" t="n">
        <v>0</v>
      </c>
      <c r="I4" s="12" t="n">
        <v>0</v>
      </c>
      <c r="J4" s="12" t="inlineStr"/>
    </row>
    <row r="5">
      <c r="A5" s="11" t="n">
        <v>3</v>
      </c>
      <c r="B5" s="11" t="inlineStr">
        <is>
          <t>Michelin</t>
        </is>
      </c>
      <c r="C5" s="11" t="n">
        <v>100</v>
      </c>
      <c r="D5" s="12" t="n">
        <v>29.66</v>
      </c>
      <c r="E5" s="12" t="n">
        <v>2.9</v>
      </c>
      <c r="F5" s="12" t="n">
        <v>0</v>
      </c>
      <c r="G5" s="12" t="n">
        <v>0</v>
      </c>
      <c r="H5" s="12" t="n">
        <v>0</v>
      </c>
      <c r="I5" s="12" t="n">
        <v>0</v>
      </c>
      <c r="J5" s="12" t="inlineStr"/>
    </row>
    <row r="6">
      <c r="A6" s="11" t="n">
        <v>4</v>
      </c>
      <c r="B6" s="11" t="inlineStr">
        <is>
          <t>Hermès</t>
        </is>
      </c>
      <c r="C6" s="11" t="n">
        <v>94</v>
      </c>
      <c r="D6" s="12" t="n">
        <v>1873</v>
      </c>
      <c r="E6" s="12" t="n">
        <v>43.4</v>
      </c>
      <c r="F6" s="12" t="n">
        <v>95</v>
      </c>
      <c r="G6" s="12" t="n">
        <v>25.2</v>
      </c>
      <c r="H6" s="12" t="n">
        <v>1.2</v>
      </c>
      <c r="I6" s="12" t="n">
        <v>0</v>
      </c>
      <c r="J6" s="12" t="inlineStr"/>
    </row>
    <row r="7">
      <c r="A7" s="11" t="n">
        <v>5</v>
      </c>
      <c r="B7" s="11" t="inlineStr">
        <is>
          <t>L'Oréal</t>
        </is>
      </c>
      <c r="C7" s="11" t="n">
        <v>91</v>
      </c>
      <c r="D7" s="12" t="n">
        <v>353.65</v>
      </c>
      <c r="E7" s="12" t="n">
        <v>31</v>
      </c>
      <c r="F7" s="12" t="n">
        <v>200</v>
      </c>
      <c r="G7" s="12" t="n">
        <v>18</v>
      </c>
      <c r="H7" s="12" t="n">
        <v>6.3</v>
      </c>
      <c r="I7" s="12" t="n">
        <v>0</v>
      </c>
      <c r="J7" s="12" t="inlineStr"/>
    </row>
    <row r="8">
      <c r="A8" s="11" t="n">
        <v>6</v>
      </c>
      <c r="B8" s="11" t="inlineStr">
        <is>
          <t>Schneider Electric</t>
        </is>
      </c>
      <c r="C8" s="11" t="n">
        <v>87</v>
      </c>
      <c r="D8" s="12" t="n">
        <v>248</v>
      </c>
      <c r="E8" s="12" t="n">
        <v>31.1</v>
      </c>
      <c r="F8" s="12" t="n">
        <v>165</v>
      </c>
      <c r="G8" s="12" t="n">
        <v>15.6</v>
      </c>
      <c r="H8" s="12" t="n">
        <v>14.3</v>
      </c>
      <c r="I8" s="12" t="n">
        <v>0</v>
      </c>
      <c r="J8" s="12" t="inlineStr"/>
    </row>
    <row r="9">
      <c r="A9" s="11" t="n">
        <v>7</v>
      </c>
      <c r="B9" s="11" t="inlineStr">
        <is>
          <t>Air Liquide</t>
        </is>
      </c>
      <c r="C9" s="11" t="n">
        <v>87</v>
      </c>
      <c r="D9" s="12" t="n">
        <v>170.88</v>
      </c>
      <c r="E9" s="12" t="n">
        <v>28</v>
      </c>
      <c r="F9" s="12" t="n">
        <v>217</v>
      </c>
      <c r="G9" s="12" t="n">
        <v>13.4</v>
      </c>
      <c r="H9" s="12" t="n">
        <v>13.8</v>
      </c>
      <c r="I9" s="12" t="n">
        <v>0</v>
      </c>
      <c r="J9" s="12" t="inlineStr"/>
    </row>
    <row r="10">
      <c r="A10" s="11" t="n">
        <v>8</v>
      </c>
      <c r="B10" s="11" t="inlineStr">
        <is>
          <t>EssilorLuxottica</t>
        </is>
      </c>
      <c r="C10" s="11" t="n">
        <v>86</v>
      </c>
      <c r="D10" s="12" t="n">
        <v>204.7</v>
      </c>
      <c r="E10" s="12" t="n">
        <v>41.2</v>
      </c>
      <c r="F10" s="12" t="n">
        <v>190</v>
      </c>
      <c r="G10" s="12" t="n">
        <v>6.1</v>
      </c>
      <c r="H10" s="12" t="n">
        <v>15.2</v>
      </c>
      <c r="I10" s="12" t="n">
        <v>0</v>
      </c>
      <c r="J10" s="12" t="inlineStr"/>
    </row>
    <row r="11">
      <c r="A11" s="13" t="n">
        <v>9</v>
      </c>
      <c r="B11" s="13" t="inlineStr">
        <is>
          <t>Safran</t>
        </is>
      </c>
      <c r="C11" s="13" t="n">
        <v>83</v>
      </c>
      <c r="D11" s="14" t="n">
        <v>304.4</v>
      </c>
      <c r="E11" s="14" t="n">
        <v>17.7</v>
      </c>
      <c r="F11" s="14" t="n">
        <v>109</v>
      </c>
      <c r="G11" s="14" t="n">
        <v>55.6</v>
      </c>
      <c r="H11" s="14" t="n">
        <v>4.2</v>
      </c>
      <c r="I11" s="14" t="n">
        <v>0</v>
      </c>
      <c r="J11" s="14" t="inlineStr">
        <is>
          <t>Vérifier si &gt; 5% du CA vient de l'armement offensif</t>
        </is>
      </c>
    </row>
    <row r="12">
      <c r="A12" s="11" t="n">
        <v>10</v>
      </c>
      <c r="B12" s="11" t="inlineStr">
        <is>
          <t>Legrand</t>
        </is>
      </c>
      <c r="C12" s="11" t="n">
        <v>81</v>
      </c>
      <c r="D12" s="12" t="n">
        <v>136.85</v>
      </c>
      <c r="E12" s="12" t="n">
        <v>29.1</v>
      </c>
      <c r="F12" s="12" t="n">
        <v>172</v>
      </c>
      <c r="G12" s="12" t="n">
        <v>16.8</v>
      </c>
      <c r="H12" s="12" t="n">
        <v>18.4</v>
      </c>
      <c r="I12" s="12" t="n">
        <v>0</v>
      </c>
      <c r="J12" s="12" t="inlineStr"/>
    </row>
    <row r="13">
      <c r="A13" s="11" t="n">
        <v>11</v>
      </c>
      <c r="B13" s="11" t="inlineStr">
        <is>
          <t>Dassault Systèmes</t>
        </is>
      </c>
      <c r="C13" s="11" t="n">
        <v>79</v>
      </c>
      <c r="D13" s="12" t="n">
        <v>18.5</v>
      </c>
      <c r="E13" s="12" t="n">
        <v>20.6</v>
      </c>
      <c r="F13" s="12" t="n">
        <v>142</v>
      </c>
      <c r="G13" s="12" t="n">
        <v>13.3</v>
      </c>
      <c r="H13" s="12" t="n">
        <v>10.7</v>
      </c>
      <c r="I13" s="12" t="n">
        <v>0</v>
      </c>
      <c r="J13" s="12" t="inlineStr"/>
    </row>
    <row r="14">
      <c r="A14" s="11" t="n">
        <v>12</v>
      </c>
      <c r="B14" s="11" t="inlineStr">
        <is>
          <t>STMicroelectronics</t>
        </is>
      </c>
      <c r="C14" s="11" t="n">
        <v>78</v>
      </c>
      <c r="D14" s="12" t="n">
        <v>28.61</v>
      </c>
      <c r="E14" s="12" t="n">
        <v>178.8</v>
      </c>
      <c r="F14" s="12" t="n">
        <v>116</v>
      </c>
      <c r="G14" s="12" t="n">
        <v>1</v>
      </c>
      <c r="H14" s="12" t="n">
        <v>9.300000000000001</v>
      </c>
      <c r="I14" s="12" t="n">
        <v>0</v>
      </c>
      <c r="J14" s="12" t="inlineStr"/>
    </row>
    <row r="15">
      <c r="A15" s="11" t="n">
        <v>13</v>
      </c>
      <c r="B15" s="11" t="inlineStr">
        <is>
          <t>Sanofi</t>
        </is>
      </c>
      <c r="C15" s="11" t="n">
        <v>77</v>
      </c>
      <c r="D15" s="12" t="n">
        <v>76.39</v>
      </c>
      <c r="E15" s="12" t="n">
        <v>19</v>
      </c>
      <c r="F15" s="12" t="n">
        <v>512</v>
      </c>
      <c r="G15" s="12" t="n">
        <v>6.7</v>
      </c>
      <c r="H15" s="12" t="n">
        <v>22</v>
      </c>
      <c r="I15" s="12" t="n">
        <v>0</v>
      </c>
      <c r="J15" s="12" t="inlineStr"/>
    </row>
    <row r="16">
      <c r="A16" s="13" t="n">
        <v>14</v>
      </c>
      <c r="B16" s="13" t="inlineStr">
        <is>
          <t>Thales</t>
        </is>
      </c>
      <c r="C16" s="13" t="n">
        <v>75</v>
      </c>
      <c r="D16" s="14" t="n">
        <v>253.8</v>
      </c>
      <c r="E16" s="14" t="n">
        <v>31.2</v>
      </c>
      <c r="F16" s="14" t="n">
        <v>153</v>
      </c>
      <c r="G16" s="14" t="n">
        <v>21.1</v>
      </c>
      <c r="H16" s="14" t="n">
        <v>11.8</v>
      </c>
      <c r="I16" s="14" t="n">
        <v>0</v>
      </c>
      <c r="J16" s="14" t="inlineStr">
        <is>
          <t>Vérifier si &gt; 5% du CA vient de l'armement offensif</t>
        </is>
      </c>
    </row>
    <row r="17">
      <c r="A17" s="13" t="n">
        <v>15</v>
      </c>
      <c r="B17" s="13" t="inlineStr">
        <is>
          <t>Airbus</t>
        </is>
      </c>
      <c r="C17" s="13" t="n">
        <v>72</v>
      </c>
      <c r="D17" s="14" t="n">
        <v>168.38</v>
      </c>
      <c r="E17" s="14" t="n">
        <v>25.5</v>
      </c>
      <c r="F17" s="14" t="n">
        <v>186</v>
      </c>
      <c r="G17" s="14" t="n">
        <v>21.6</v>
      </c>
      <c r="H17" s="14" t="n">
        <v>10.7</v>
      </c>
      <c r="I17" s="14" t="n">
        <v>0</v>
      </c>
      <c r="J17" s="14" t="inlineStr">
        <is>
          <t>Vérifier si &gt; 5% du CA vient de l'armement offensif</t>
        </is>
      </c>
    </row>
    <row r="18">
      <c r="A18" s="11" t="n">
        <v>16</v>
      </c>
      <c r="B18" s="11" t="inlineStr">
        <is>
          <t>Publicis</t>
        </is>
      </c>
      <c r="C18" s="11" t="n">
        <v>61</v>
      </c>
      <c r="D18" s="12" t="n">
        <v>75.62</v>
      </c>
      <c r="E18" s="12" t="n">
        <v>11.6</v>
      </c>
      <c r="F18" s="12" t="n">
        <v>481</v>
      </c>
      <c r="G18" s="12" t="n">
        <v>15.5</v>
      </c>
      <c r="H18" s="12" t="n">
        <v>29.8</v>
      </c>
      <c r="I18" s="12" t="n">
        <v>0</v>
      </c>
      <c r="J18" s="12" t="inlineStr"/>
    </row>
    <row r="19">
      <c r="A19" s="13" t="n">
        <v>17</v>
      </c>
      <c r="B19" s="13" t="inlineStr">
        <is>
          <t>Danone</t>
        </is>
      </c>
      <c r="C19" s="13" t="n">
        <v>54</v>
      </c>
      <c r="D19" s="14" t="n">
        <v>71.92</v>
      </c>
      <c r="E19" s="14" t="n">
        <v>25.5</v>
      </c>
      <c r="F19" s="14" t="n">
        <v>320</v>
      </c>
      <c r="G19" s="14" t="n">
        <v>10.8</v>
      </c>
      <c r="H19" s="14" t="n">
        <v>32.8</v>
      </c>
      <c r="I19" s="14" t="n">
        <v>0</v>
      </c>
      <c r="J19" s="14" t="inlineStr">
        <is>
          <t>Vérifier si produits à base de porc ou gélatine porcine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843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Répartition</t>
        </is>
      </c>
      <c r="B1" t="inlineStr">
        <is>
          <t>Nombre</t>
        </is>
      </c>
    </row>
    <row r="2">
      <c r="A2" t="inlineStr">
        <is>
          <t>Conformes</t>
        </is>
      </c>
      <c r="B2" t="n">
        <v>17</v>
      </c>
    </row>
    <row r="3">
      <c r="A3" t="inlineStr">
        <is>
          <t>Non Conformes</t>
        </is>
      </c>
      <c r="B3" t="n">
        <v>16</v>
      </c>
    </row>
    <row r="4">
      <c r="A4" t="inlineStr">
        <is>
          <t>Haram</t>
        </is>
      </c>
      <c r="B4" t="n">
        <v>7</v>
      </c>
    </row>
    <row r="7">
      <c r="A7" t="inlineStr">
        <is>
          <t>Action</t>
        </is>
      </c>
      <c r="B7" t="inlineStr">
        <is>
          <t>Score Sharia</t>
        </is>
      </c>
    </row>
    <row r="8">
      <c r="A8" t="inlineStr">
        <is>
          <t>Unibail-Rodamco</t>
        </is>
      </c>
      <c r="B8" t="n">
        <v>100</v>
      </c>
    </row>
    <row r="9">
      <c r="A9" t="inlineStr">
        <is>
          <t>Capgemini</t>
        </is>
      </c>
      <c r="B9" t="n">
        <v>100</v>
      </c>
    </row>
    <row r="10">
      <c r="A10" t="inlineStr">
        <is>
          <t>Michelin</t>
        </is>
      </c>
      <c r="B10" t="n">
        <v>100</v>
      </c>
    </row>
    <row r="11">
      <c r="A11" t="inlineStr">
        <is>
          <t>Hermès</t>
        </is>
      </c>
      <c r="B11" t="n">
        <v>94</v>
      </c>
    </row>
    <row r="12">
      <c r="A12" t="inlineStr">
        <is>
          <t>L'Oréal</t>
        </is>
      </c>
      <c r="B12" t="n">
        <v>91</v>
      </c>
    </row>
    <row r="13">
      <c r="A13" t="inlineStr">
        <is>
          <t>Schneider Electric</t>
        </is>
      </c>
      <c r="B13" t="n">
        <v>87</v>
      </c>
    </row>
    <row r="14">
      <c r="A14" t="inlineStr">
        <is>
          <t>Air Liquide</t>
        </is>
      </c>
      <c r="B14" t="n">
        <v>87</v>
      </c>
    </row>
    <row r="15">
      <c r="A15" t="inlineStr">
        <is>
          <t>EssilorLuxottica</t>
        </is>
      </c>
      <c r="B15" t="n">
        <v>86</v>
      </c>
    </row>
    <row r="16">
      <c r="A16" t="inlineStr">
        <is>
          <t>Safran</t>
        </is>
      </c>
      <c r="B16" t="n">
        <v>83</v>
      </c>
    </row>
    <row r="17">
      <c r="A17" t="inlineStr">
        <is>
          <t>Legrand</t>
        </is>
      </c>
      <c r="B17" t="n">
        <v>81</v>
      </c>
    </row>
    <row r="18">
      <c r="A18" t="inlineStr">
        <is>
          <t>Dassault Systèmes</t>
        </is>
      </c>
      <c r="B18" t="n">
        <v>79</v>
      </c>
    </row>
    <row r="19">
      <c r="A19" t="inlineStr">
        <is>
          <t>STMicroelectronics</t>
        </is>
      </c>
      <c r="B19" t="n">
        <v>78</v>
      </c>
    </row>
    <row r="20">
      <c r="A20" t="inlineStr">
        <is>
          <t>Sanofi</t>
        </is>
      </c>
      <c r="B20" t="n">
        <v>77</v>
      </c>
    </row>
    <row r="21">
      <c r="A21" t="inlineStr">
        <is>
          <t>Thales</t>
        </is>
      </c>
      <c r="B21" t="n">
        <v>75</v>
      </c>
    </row>
    <row r="22">
      <c r="A22" t="inlineStr">
        <is>
          <t>Airbus</t>
        </is>
      </c>
      <c r="B22" t="n">
        <v>72</v>
      </c>
    </row>
    <row r="23">
      <c r="A23" t="inlineStr">
        <is>
          <t>Publicis</t>
        </is>
      </c>
      <c r="B23" t="n">
        <v>61</v>
      </c>
    </row>
    <row r="24">
      <c r="A24" t="inlineStr">
        <is>
          <t>Danone</t>
        </is>
      </c>
      <c r="B24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D3C98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0" customWidth="1" min="3" max="3"/>
  </cols>
  <sheetData>
    <row r="1">
      <c r="A1" s="15" t="inlineStr">
        <is>
          <t>HALAL QUANT — MÉTHODOLOGIE DE SCREENING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Norme appliquée</t>
        </is>
      </c>
      <c r="B3" t="inlineStr">
        <is>
          <t>AAOIFI (Accounting and Auditing Organization for Islamic Financial Institutions)</t>
        </is>
      </c>
      <c r="C3" t="inlineStr"/>
    </row>
    <row r="4">
      <c r="A4" t="inlineStr"/>
      <c r="B4" t="inlineStr"/>
      <c r="C4" t="inlineStr"/>
    </row>
    <row r="5">
      <c r="A5" s="16" t="inlineStr">
        <is>
          <t>NIVEAU</t>
        </is>
      </c>
      <c r="B5" s="16" t="inlineStr">
        <is>
          <t>FILTRE</t>
        </is>
      </c>
      <c r="C5" s="16" t="inlineStr">
        <is>
          <t>DESCRIPTION</t>
        </is>
      </c>
    </row>
    <row r="6">
      <c r="A6" s="17" t="inlineStr">
        <is>
          <t>Niveau 1</t>
        </is>
      </c>
      <c r="B6" t="inlineStr">
        <is>
          <t>Secteur principal</t>
        </is>
      </c>
      <c r="C6" t="inlineStr">
        <is>
          <t>Exclusion des secteurs Financial Services (banques, assurances)</t>
        </is>
      </c>
    </row>
    <row r="7">
      <c r="A7" s="17" t="inlineStr">
        <is>
          <t>Niveau 2</t>
        </is>
      </c>
      <c r="B7" t="inlineStr">
        <is>
          <t>Industrie spécifique</t>
        </is>
      </c>
      <c r="C7" t="inlineStr">
        <is>
          <t>Exclusion de 25+ sous-industries (alcool, tabac, jeux, armes, crédit, etc.)</t>
        </is>
      </c>
    </row>
    <row r="8">
      <c r="A8" s="17" t="inlineStr">
        <is>
          <t>Niveau 3</t>
        </is>
      </c>
      <c r="B8" t="inlineStr">
        <is>
          <t>Liste noire manuelle</t>
        </is>
      </c>
      <c r="C8" t="inlineStr">
        <is>
          <t>Entreprises avec revenus haram vérifiés (LVMH, Pernod Ricard, Kering)</t>
        </is>
      </c>
    </row>
    <row r="9">
      <c r="A9" s="17" t="inlineStr">
        <is>
          <t>Niveau 4</t>
        </is>
      </c>
      <c r="B9" t="inlineStr">
        <is>
          <t>Revenus d'intérêts</t>
        </is>
      </c>
      <c r="C9" t="inlineStr">
        <is>
          <t>Revenus d'intérêts &lt; 5% du chiffre d'affaires total</t>
        </is>
      </c>
    </row>
    <row r="10">
      <c r="A10" s="17" t="inlineStr">
        <is>
          <t>Niveau 5</t>
        </is>
      </c>
      <c r="B10" t="inlineStr">
        <is>
          <t>Ratio dette AAOIFI</t>
        </is>
      </c>
      <c r="C10" t="inlineStr">
        <is>
          <t>Dette totale / Capitalisation boursière &lt; 33%</t>
        </is>
      </c>
    </row>
    <row r="11">
      <c r="A11" s="17" t="inlineStr">
        <is>
          <t>Niveau 5</t>
        </is>
      </c>
      <c r="B11" t="inlineStr">
        <is>
          <t>Ratio cash AAOIFI</t>
        </is>
      </c>
      <c r="C11" t="inlineStr">
        <is>
          <t>Cash et placements / Capitalisation boursière &lt; 33%</t>
        </is>
      </c>
    </row>
    <row r="12">
      <c r="A12" s="17" t="inlineStr">
        <is>
          <t>Niveau 5</t>
        </is>
      </c>
      <c r="B12" t="inlineStr">
        <is>
          <t>Ratio créances AAOIFI</t>
        </is>
      </c>
      <c r="C12" t="inlineStr">
        <is>
          <t>Créances nettes / Capitalisation boursière &lt; 49%</t>
        </is>
      </c>
    </row>
    <row r="13">
      <c r="A13" s="17" t="inlineStr">
        <is>
          <t>Niveau 6</t>
        </is>
      </c>
      <c r="B13" t="inlineStr">
        <is>
          <t>Zones grises</t>
        </is>
      </c>
      <c r="C13" t="inlineStr">
        <is>
          <t>Signalement des industries nécessitant vérification manuelle (défense, restauration, etc.)</t>
        </is>
      </c>
    </row>
    <row r="14">
      <c r="A14" t="inlineStr"/>
      <c r="B14" t="inlineStr"/>
      <c r="C14" t="inlineStr"/>
    </row>
    <row r="15">
      <c r="A15" s="18" t="inlineStr">
        <is>
          <t>SCORE SHARIA</t>
        </is>
      </c>
      <c r="B15" t="inlineStr">
        <is>
          <t>Calcul</t>
        </is>
      </c>
      <c r="C15" t="inlineStr">
        <is>
          <t>Moyenne de 4 sous-scores : (100 - dette%) + (100 - cash%) + (100 - créances%) + (100 - rev.haram%). Pénalité de -10 si zone grise.</t>
        </is>
      </c>
    </row>
    <row r="16">
      <c r="A16" s="18" t="inlineStr">
        <is>
          <t>PURIFICATION</t>
        </is>
      </c>
      <c r="B16" t="inlineStr">
        <is>
          <t>Calcul</t>
        </is>
      </c>
      <c r="C16" t="inlineStr">
        <is>
          <t>% des dividendes à reverser en aumône = % de revenus d'intérêts de l'entreprise</t>
        </is>
      </c>
    </row>
    <row r="17">
      <c r="A17" t="inlineStr"/>
      <c r="B17" t="inlineStr"/>
      <c r="C17" t="inlineStr"/>
    </row>
    <row r="18">
      <c r="A18" s="18" t="inlineStr">
        <is>
          <t>AVERTISSEMENT</t>
        </is>
      </c>
      <c r="B18" t="inlineStr"/>
      <c r="C18" t="inlineStr">
        <is>
          <t>Ce screener est un outil d'aide à la décision. Il ne constitue pas une fatwa. Consultez un savant qualifié en fiqh al-mu'amalat pour toute décision d'investissement.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2026-03-14T05:54:52Z</dcterms:created>
  <dcterms:modified xsi:type="dcterms:W3CDTF">2026-03-14T05:54:52Z</dcterms:modified>
</cp:coreProperties>
</file>